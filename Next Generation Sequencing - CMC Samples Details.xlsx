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C 2024" sheetId="1" r:id="rId5"/>
    <sheet state="visible" name="MAY 2025" sheetId="2" r:id="rId6"/>
    <sheet state="visible" name="July 2025" sheetId="3" r:id="rId7"/>
    <sheet state="visible" name="AUG 2025" sheetId="4" r:id="rId8"/>
    <sheet state="visible" name="SEP 2025" sheetId="5" r:id="rId9"/>
    <sheet state="visible" name="NOV 2025" sheetId="6" r:id="rId10"/>
    <sheet state="visible" name="OCT 2025" sheetId="7" r:id="rId11"/>
    <sheet state="visible" name="DEC 2025" sheetId="8" r:id="rId12"/>
    <sheet state="visible" name="JAN 2026" sheetId="9" r:id="rId13"/>
    <sheet state="visible" name="Feb 2026" sheetId="10" r:id="rId14"/>
    <sheet state="visible" name="Mar 2026" sheetId="11" r:id="rId15"/>
    <sheet state="visible" name="Apr 2026" sheetId="12" r:id="rId16"/>
  </sheets>
  <definedNames/>
  <calcPr/>
</workbook>
</file>

<file path=xl/sharedStrings.xml><?xml version="1.0" encoding="utf-8"?>
<sst xmlns="http://schemas.openxmlformats.org/spreadsheetml/2006/main" count="5309" uniqueCount="1569">
  <si>
    <t>Sl No</t>
  </si>
  <si>
    <t>Anderson ID</t>
  </si>
  <si>
    <t>Sample Number</t>
  </si>
  <si>
    <t>Remarks</t>
  </si>
  <si>
    <t>Name</t>
  </si>
  <si>
    <t>Test Name</t>
  </si>
  <si>
    <t>Client Name</t>
  </si>
  <si>
    <t>Sample Type</t>
  </si>
  <si>
    <t>Sample Details</t>
  </si>
  <si>
    <t>Received Date</t>
  </si>
  <si>
    <t>TRF Details</t>
  </si>
  <si>
    <t>Raw data received</t>
  </si>
  <si>
    <t>Report  released date</t>
  </si>
  <si>
    <t>Raw data sent to</t>
  </si>
  <si>
    <t xml:space="preserve">Raw data sent link </t>
  </si>
  <si>
    <t>Status</t>
  </si>
  <si>
    <t>AND24630005403</t>
  </si>
  <si>
    <t>MR. VENUGOPAL ( M )</t>
  </si>
  <si>
    <t>WHOLE EXOME SEQUENCING</t>
  </si>
  <si>
    <t xml:space="preserve">CHRISTIAN MEDICAL COLLEGE - VELLORE </t>
  </si>
  <si>
    <t>BLOOD</t>
  </si>
  <si>
    <t>Dr. Rekha Aaron (REKHA.ATHIYARATH@gmail.com)</t>
  </si>
  <si>
    <t>https://drive.google.com/drive/folders/1gDRpUknFU_Vd5f5sJgXOUyzwZC8KsV3_?usp=sharing</t>
  </si>
  <si>
    <t>Released</t>
  </si>
  <si>
    <t>AND24630005404</t>
  </si>
  <si>
    <t>MS. ASHI ASHWI (6Y/F)</t>
  </si>
  <si>
    <t>AND24630005405</t>
  </si>
  <si>
    <t>BABY.TAMIM SARDAR (1Y|M)</t>
  </si>
  <si>
    <t>AND24630005406</t>
  </si>
  <si>
    <t>MASTER. ABDUL HAADI ( 5Y|M )</t>
  </si>
  <si>
    <t>DNA</t>
  </si>
  <si>
    <t>AND24630005407</t>
  </si>
  <si>
    <t>MS. AMRITA DHIBAR ( 20Y|F )</t>
  </si>
  <si>
    <t>Gender</t>
  </si>
  <si>
    <t>Client Doctor Name</t>
  </si>
  <si>
    <t>History</t>
  </si>
  <si>
    <t>Reports</t>
  </si>
  <si>
    <t>AND25380040012</t>
  </si>
  <si>
    <t>hyperinsulinemia</t>
  </si>
  <si>
    <t>MS.CHI-1(0YO)</t>
  </si>
  <si>
    <t>CHRISTIAN MEDICAL COLLEGE - HAEMOTOLOGY</t>
  </si>
  <si>
    <t>1DNA</t>
  </si>
  <si>
    <t>https://drive.google.com/drive/folders/1Saq5fOMAoBv95dfWklUXvqm853hGA094?usp=sharing</t>
  </si>
  <si>
    <t>AND25380040013</t>
  </si>
  <si>
    <t>MS.CHI-4(0YO)</t>
  </si>
  <si>
    <t>AND25380040014</t>
  </si>
  <si>
    <t>MS.CHI-6(0YO)</t>
  </si>
  <si>
    <t>AND25380040015</t>
  </si>
  <si>
    <t>MS.CHI-7(0YO)</t>
  </si>
  <si>
    <t>AND25380040016</t>
  </si>
  <si>
    <t>MS.CHI-09(0YO)</t>
  </si>
  <si>
    <t>AND25380040017</t>
  </si>
  <si>
    <t>MS.CHI-10(0YO)</t>
  </si>
  <si>
    <t>AND25380040018</t>
  </si>
  <si>
    <t>MS.CHI-49(0YO)</t>
  </si>
  <si>
    <t>AND25380040019</t>
  </si>
  <si>
    <t>MS.CHI-11(0YO)</t>
  </si>
  <si>
    <t>AND25380040020</t>
  </si>
  <si>
    <t>MS.CHI-12(0YO)</t>
  </si>
  <si>
    <t>AND25380040021</t>
  </si>
  <si>
    <t>MS.CHI-13(0YO)</t>
  </si>
  <si>
    <t>AND25380040022</t>
  </si>
  <si>
    <t>MS.CHI-14(0YO)</t>
  </si>
  <si>
    <t>AND25380040023</t>
  </si>
  <si>
    <t>MS.CHI-16(0YO)</t>
  </si>
  <si>
    <t>AND25380040024</t>
  </si>
  <si>
    <t>MS.CHI-19(0YO)</t>
  </si>
  <si>
    <t>AND25380040025</t>
  </si>
  <si>
    <t>MS.CHI-21(0YO)</t>
  </si>
  <si>
    <t>AND25380040026</t>
  </si>
  <si>
    <t>MS.CHI-24(0YO)</t>
  </si>
  <si>
    <t>AND25380040027</t>
  </si>
  <si>
    <t>MS.CHI-35(0YO)</t>
  </si>
  <si>
    <t>AND25380040028</t>
  </si>
  <si>
    <t>MS.CHI-36(0YO)</t>
  </si>
  <si>
    <t>AND25380040029</t>
  </si>
  <si>
    <t>MS.CHI-37(0YO)</t>
  </si>
  <si>
    <t>AND25380040030</t>
  </si>
  <si>
    <t>MS.CHI-38(0YO)</t>
  </si>
  <si>
    <t>AND25380040031</t>
  </si>
  <si>
    <t>MS.CHI-42(0YO)</t>
  </si>
  <si>
    <t>AND25380040032</t>
  </si>
  <si>
    <t>MS.CHI-44(0YO)</t>
  </si>
  <si>
    <t>AND25380040033</t>
  </si>
  <si>
    <t>MS.CHI-46(0YO)</t>
  </si>
  <si>
    <t>AND25380040034</t>
  </si>
  <si>
    <t>MS.CHI-48(0YO)</t>
  </si>
  <si>
    <t>AND25380040035</t>
  </si>
  <si>
    <t>MS.CHI-50(0YO)</t>
  </si>
  <si>
    <t>AND25380040036</t>
  </si>
  <si>
    <t>MS.CHI-51(0YO)</t>
  </si>
  <si>
    <t>AND25380040037</t>
  </si>
  <si>
    <t>MS.CHI-54(0YO)</t>
  </si>
  <si>
    <t>AND25380040038</t>
  </si>
  <si>
    <t>MS.CHI-55(0YO)</t>
  </si>
  <si>
    <t>AND25380040039</t>
  </si>
  <si>
    <t>MS.CHI-56(0YO)</t>
  </si>
  <si>
    <t>AND25380040040</t>
  </si>
  <si>
    <t>MS.CHI-57(0YO)</t>
  </si>
  <si>
    <t>AND25380040041</t>
  </si>
  <si>
    <t>MS.CHI-58(0YO)</t>
  </si>
  <si>
    <t>AND25380040042</t>
  </si>
  <si>
    <t>MS.CHI-60(0YO)</t>
  </si>
  <si>
    <t>AND25380040043</t>
  </si>
  <si>
    <t>MS.CHI-61(0YO)</t>
  </si>
  <si>
    <t>AND25380040044</t>
  </si>
  <si>
    <t>MS.CHI-62(0YO)</t>
  </si>
  <si>
    <t>AND25380040045</t>
  </si>
  <si>
    <t>MS.CHI-63(0YO)</t>
  </si>
  <si>
    <t>AND25380043227</t>
  </si>
  <si>
    <t>MS.RGS-319(0YO)</t>
  </si>
  <si>
    <t>Female</t>
  </si>
  <si>
    <t>CHRISTIAN MEDICAL COLLEGE - NEPHROLOGY</t>
  </si>
  <si>
    <t>Dr. Suceena Alexander</t>
  </si>
  <si>
    <t>AND25380043228</t>
  </si>
  <si>
    <t>MS.RGS-320(0YO)</t>
  </si>
  <si>
    <t>AND25380043229</t>
  </si>
  <si>
    <t>MS.RGS-321(0YO)</t>
  </si>
  <si>
    <t>Male</t>
  </si>
  <si>
    <t>AND25380043230</t>
  </si>
  <si>
    <t>MS.RGS-322(0YO)</t>
  </si>
  <si>
    <t>AND25380043231</t>
  </si>
  <si>
    <t>MS.RGS-323(0YO)</t>
  </si>
  <si>
    <t>AND-TP-206-LIB-01</t>
  </si>
  <si>
    <t>F8</t>
  </si>
  <si>
    <t>VELMURUGAN-HBD-2</t>
  </si>
  <si>
    <t>Dr. Eunice Sindhuvi</t>
  </si>
  <si>
    <t>Hemphilia A</t>
  </si>
  <si>
    <t xml:space="preserve">NO reports </t>
  </si>
  <si>
    <t>AND-TP-206-LIB-02</t>
  </si>
  <si>
    <t>ABDUL RANHIM-HBD-5</t>
  </si>
  <si>
    <t>AND-TP-206-LIB-03</t>
  </si>
  <si>
    <t>F13A1</t>
  </si>
  <si>
    <t>SAVITHA-HBD-6</t>
  </si>
  <si>
    <t>FXIII Deficiency</t>
  </si>
  <si>
    <t>AND-TP-206-LIB-04</t>
  </si>
  <si>
    <t>NASAR-HBD-7</t>
  </si>
  <si>
    <t>AND-TP-206-LIB-05</t>
  </si>
  <si>
    <t>JAGANATH-HBD-8</t>
  </si>
  <si>
    <t>AND-TP-206-LIB-06</t>
  </si>
  <si>
    <t>BIPEESH-HBD-09</t>
  </si>
  <si>
    <t>AND-TP-206-LIB-07</t>
  </si>
  <si>
    <t>JOHN VARGHESE-HBD-10</t>
  </si>
  <si>
    <t>AND-TP-206-LIB-08</t>
  </si>
  <si>
    <t>MCFD1, LMANI, F10, F2, F7, F5, F8</t>
  </si>
  <si>
    <t>CHANDRESH V-HBD-11</t>
  </si>
  <si>
    <t>Multiple Factor Deficiency</t>
  </si>
  <si>
    <t>AND-TP-207-LIB-09</t>
  </si>
  <si>
    <t>GP1BB, GP1BA, GPIX</t>
  </si>
  <si>
    <t>RAZIYA-HBD-13</t>
  </si>
  <si>
    <t>Bernard Soulier Syndrome</t>
  </si>
  <si>
    <t>AND-TP-207-LIB-10</t>
  </si>
  <si>
    <t>UDAIYAPPAN N-HBD-15</t>
  </si>
  <si>
    <t>AND-TP-207-LIB-11</t>
  </si>
  <si>
    <t>BARESHAVALI D-HBD-16</t>
  </si>
  <si>
    <t>AND-TP-207-LIB-12</t>
  </si>
  <si>
    <t>FGA, FGB, FGG</t>
  </si>
  <si>
    <t>SANDHYA R-HBD-17</t>
  </si>
  <si>
    <t>Afibrinogenemia</t>
  </si>
  <si>
    <t>AND-TP-207-LIB-13</t>
  </si>
  <si>
    <t>GEETHAS BABY-HBD-18</t>
  </si>
  <si>
    <t>AND-TP-207-LIB-14</t>
  </si>
  <si>
    <t>JAFFAR D-HBD-19</t>
  </si>
  <si>
    <t>AND-TP-207-LIB-15</t>
  </si>
  <si>
    <t>F9</t>
  </si>
  <si>
    <t>PEYYALA JAYARAJ-HBD-20</t>
  </si>
  <si>
    <t>Hemphilia B</t>
  </si>
  <si>
    <t>AND-TP-207-LIB-16</t>
  </si>
  <si>
    <t>KAMALESH-HBD-27</t>
  </si>
  <si>
    <t>AND-TP-209-LIB-17</t>
  </si>
  <si>
    <t>LINGESH-HBD-33</t>
  </si>
  <si>
    <t>AND-TP-209-LIB-18</t>
  </si>
  <si>
    <t>PREETHAM RUDRA PAUL-HBD-36</t>
  </si>
  <si>
    <t>AND-TP-209-LIB-19</t>
  </si>
  <si>
    <t>ABDUL SALEEM-HBD-38</t>
  </si>
  <si>
    <t>AND-TP-209-LIB-20</t>
  </si>
  <si>
    <t>BALLA GOWTHAM-HBD-40</t>
  </si>
  <si>
    <t>AND-TP-209-LIB-21</t>
  </si>
  <si>
    <t>VWF</t>
  </si>
  <si>
    <t>SANTHOSH  KUMAR-HBD-41</t>
  </si>
  <si>
    <t>Type 3 VWD</t>
  </si>
  <si>
    <t>AND-TP-209-LIB-22</t>
  </si>
  <si>
    <t>RITU RAJ-HBD-43</t>
  </si>
  <si>
    <t>AND-TP-209-LIB-23</t>
  </si>
  <si>
    <t>SANKAR GHOSH-HBD-46</t>
  </si>
  <si>
    <t>AND-TP-208-LIB-01</t>
  </si>
  <si>
    <t>YUVRAJ-HBD-47</t>
  </si>
  <si>
    <t>AND-TP-208-LIB-02</t>
  </si>
  <si>
    <t>MONESH BABU-HBD-49</t>
  </si>
  <si>
    <t>AND-TP-208-LIB-03</t>
  </si>
  <si>
    <t>ROHAN HELA-HBD-50</t>
  </si>
  <si>
    <t>AND-TP-208-LIB-04</t>
  </si>
  <si>
    <t>SUDHAKAR-HBD-51</t>
  </si>
  <si>
    <t>AND-TP-208-LIB-05</t>
  </si>
  <si>
    <t>RAHIMULLAH-HBD-52</t>
  </si>
  <si>
    <t>AND-TP-208-LIB-06</t>
  </si>
  <si>
    <t>KARIMULLAH-HBD-54</t>
  </si>
  <si>
    <t>AND-TP-208-LIB-07</t>
  </si>
  <si>
    <t>STIPHEN DAS-HBD-55</t>
  </si>
  <si>
    <t>AND-TP-208-LIB-08</t>
  </si>
  <si>
    <t>GP3A, GP2B</t>
  </si>
  <si>
    <t>DWARAKANTH-HBD-60</t>
  </si>
  <si>
    <t>Glansmans Thrombasthenia</t>
  </si>
  <si>
    <t>AND-TP-213-LIB-13</t>
  </si>
  <si>
    <t>NIVAS-HBD-63</t>
  </si>
  <si>
    <t>AND25630001531</t>
  </si>
  <si>
    <t>RGS-324</t>
  </si>
  <si>
    <t>Dr.suceena -CMC-VELLORE</t>
  </si>
  <si>
    <t>https://drive.google.com/drive/folders/1EmPMCYqE-YVwYr9_l5BvuqsXUMUnTjj0?usp=sharing</t>
  </si>
  <si>
    <t>AND25630001532</t>
  </si>
  <si>
    <t>RGS-325</t>
  </si>
  <si>
    <t>AND25630001533</t>
  </si>
  <si>
    <t>RGS-326</t>
  </si>
  <si>
    <t>AND25630001534</t>
  </si>
  <si>
    <t>RGS-327</t>
  </si>
  <si>
    <t>AND25630001535</t>
  </si>
  <si>
    <t>RGS-328</t>
  </si>
  <si>
    <t>AND25630001536</t>
  </si>
  <si>
    <t>RGS-329</t>
  </si>
  <si>
    <t>AND25630001537</t>
  </si>
  <si>
    <t>RGS-330</t>
  </si>
  <si>
    <t>AND25630001538</t>
  </si>
  <si>
    <t>RGS-331</t>
  </si>
  <si>
    <t>AND25630001539</t>
  </si>
  <si>
    <t>RGS-332</t>
  </si>
  <si>
    <t>AND25630001540</t>
  </si>
  <si>
    <t>RGS-333</t>
  </si>
  <si>
    <t>AND25630001542</t>
  </si>
  <si>
    <t>RGS-334</t>
  </si>
  <si>
    <t>AND25630001543</t>
  </si>
  <si>
    <t>RGS-335</t>
  </si>
  <si>
    <t>AND25630001544</t>
  </si>
  <si>
    <t>RGS-336</t>
  </si>
  <si>
    <t>AND25630001545</t>
  </si>
  <si>
    <t>RGS-337</t>
  </si>
  <si>
    <t>AND25630001546</t>
  </si>
  <si>
    <t>RGS-338</t>
  </si>
  <si>
    <t>AND25630001547</t>
  </si>
  <si>
    <t>RGS-339</t>
  </si>
  <si>
    <t>AND25630001548</t>
  </si>
  <si>
    <t>RGS-340</t>
  </si>
  <si>
    <t>AND25630001549</t>
  </si>
  <si>
    <t>RGS-341</t>
  </si>
  <si>
    <t>AND25630001550</t>
  </si>
  <si>
    <t>RGS-215A</t>
  </si>
  <si>
    <t>TAT Raw data</t>
  </si>
  <si>
    <t>TAT Report</t>
  </si>
  <si>
    <t>VWF gene (MCC No contmination) GA: 13 weeks</t>
  </si>
  <si>
    <t>Thamarai Selvi</t>
  </si>
  <si>
    <t>WES</t>
  </si>
  <si>
    <t>Dr/ Eunice Sindhuvi</t>
  </si>
  <si>
    <t>CVS</t>
  </si>
  <si>
    <t>Proband Mrs/ Thamarai Selvi has ongoing pregnancy of 13 weeks gestation/ She is known carrier of Von
Willebrand disease type 2 A with a heterozygous variation (c/3814T&gt;C; p/Cys1272Arg) in VWF gene at exon
28/ Fetus of Thamaraiselvi (Chorionic Villus) is being evaluated for pathogenic variations/</t>
  </si>
  <si>
    <t>AND25790009932</t>
  </si>
  <si>
    <t>MASTER.AYUSHKUAMR (10Y|M)</t>
  </si>
  <si>
    <t>Dr/ Loganathan Sathish kumar</t>
  </si>
  <si>
    <t>Peripheral blood</t>
  </si>
  <si>
    <t>Proband, born to non-consanguineous marriage is presented with recurrent fever since seven and half months/ He is suspected to be affected with tuberculosis (evidence of intrathoracic tuberculosis)/ On 28/08/2024 right cervical node biopsy was done and showed necrotizing granulomatous inflammation, suggestive of tuberculosis (TB)/ MTB was confirmed on culture and found susceptible/ On 13/03/2025 gastric lavage sample again confirmed MTB/ Other immune function tests (NBT, DHR) were normal, and blood borne viral screen was negative/ On 21/08/2025 he was stated ATT (Anti-Tubercular Therapy) but had poor response to ATT/ He was presented with new swelling in the inguinal region, pus was drained and TB was isolated/ There is no family history of similar condition/ He is suspected to be suggestive of Mendelian susceptibility to mycobacterial disease and inborn error of immunity/ He has been evaluated for pathogenic variations/</t>
  </si>
  <si>
    <t>AND25630001941</t>
  </si>
  <si>
    <t>MRS.REJI S NAIR (52YF)</t>
  </si>
  <si>
    <t>Proband, born to non- consanguineous marriage is presented with recurrent viral infection/ She was admitted with COVID thrice, developed interstitial lung disease/ She is currently on Mycophenolate Mofetil (MMF)/ ILD related rheumatological tests were reported negative/ Transbronchial lung biopsy revealed diffuse minimal to mild interstitial inflammation, occasional interstitial fibroblastic proliferation, occasional intra-alveolar fibroblastic plug and type II pneumocyte hyperplasia/ She was found negative of granulomas, airspace giant cells or features of vasculitis or hyaline membrane/ Laboratory test reported CRP-13, Rheumatoid factor-&lt;8/75, ANA: Negative, NBT and DHR: normal/ ELISA test reported SCL-70:1, Anti-RNP: 1 (negative) CENP: 42 (mildly raised), SSA: Negative, SSB: Negative, Anti-dsDNA: 1 (negative)/ There is no history of similar condition in the family/ She is suspected to be affected with interferonopathy due to 3 episodes of COVID/ She is being evaluated with pathogenic variations/</t>
  </si>
  <si>
    <t>AND25790010245</t>
  </si>
  <si>
    <t>BABY.AK18961(5MF)</t>
  </si>
  <si>
    <t>Dr/Sumita Danada</t>
  </si>
  <si>
    <t>CHRISTIAN MEDICAL COLLEGE - MEDICAL GENTICS</t>
  </si>
  <si>
    <t xml:space="preserve">AND25790010246        </t>
  </si>
  <si>
    <t>MRS.AK 08068(32YF)</t>
  </si>
  <si>
    <t>AND25790010247</t>
  </si>
  <si>
    <t>BABY.AK 20781(1YM)</t>
  </si>
  <si>
    <t>Dr/Vineshykaa</t>
  </si>
  <si>
    <t>Raw data sent link</t>
  </si>
  <si>
    <t>AND25630002412</t>
  </si>
  <si>
    <t>MR.536303P(0YM) - CMC</t>
  </si>
  <si>
    <t>Dr.Sumitha Danda</t>
  </si>
  <si>
    <t>AND25630002414</t>
  </si>
  <si>
    <t>MR.BILU CHATTERJEE(36YM) - CMC</t>
  </si>
  <si>
    <t>AND25630002413</t>
  </si>
  <si>
    <t>MR.PAYEL CHATTERJEE(27YM) - CMC</t>
  </si>
  <si>
    <t>AND25630002415</t>
  </si>
  <si>
    <t>Anish Kumar</t>
  </si>
  <si>
    <t>TRF Present</t>
  </si>
  <si>
    <t>AND25630002427</t>
  </si>
  <si>
    <t>MR.RGS - 342(0YM)</t>
  </si>
  <si>
    <t xml:space="preserve"> </t>
  </si>
  <si>
    <t>Dr.Succena Alexander</t>
  </si>
  <si>
    <t>AND25630002428</t>
  </si>
  <si>
    <t>MR.RGS - 343(0YM)</t>
  </si>
  <si>
    <t>AND25630002429</t>
  </si>
  <si>
    <t>MR.RGS - 344(0YM)</t>
  </si>
  <si>
    <t>AND25630002430</t>
  </si>
  <si>
    <t>Remark :  karyotype-47,XXY,del(2)(p11.2q11.1),+Y</t>
  </si>
  <si>
    <t>MR.RGS - 345(0YM)</t>
  </si>
  <si>
    <t>AND25630002431</t>
  </si>
  <si>
    <t>MR.RGS - 346(0YM)</t>
  </si>
  <si>
    <t>AND25630002432</t>
  </si>
  <si>
    <t>MR.RGS - 347(0YM)</t>
  </si>
  <si>
    <t>AND25630002433</t>
  </si>
  <si>
    <t>MR.RGS - 348(0YM)</t>
  </si>
  <si>
    <t xml:space="preserve">AND25630002434	</t>
  </si>
  <si>
    <t>MR.RGS - 349(0YM)</t>
  </si>
  <si>
    <t xml:space="preserve">AND25630002435	</t>
  </si>
  <si>
    <t>MR.RGS - 350(0YM)</t>
  </si>
  <si>
    <t>AND25630002436</t>
  </si>
  <si>
    <t>MR.RGS - 351(0YM)</t>
  </si>
  <si>
    <t xml:space="preserve">AND25630002437	</t>
  </si>
  <si>
    <t>MR.RGS - 352(0YM)</t>
  </si>
  <si>
    <t xml:space="preserve">AND25630002438	</t>
  </si>
  <si>
    <t>MR.RGS - 353(0YM)</t>
  </si>
  <si>
    <t>AND25630002439</t>
  </si>
  <si>
    <t>MR.RGS - 354(0YM)</t>
  </si>
  <si>
    <t xml:space="preserve">AND25630002440	</t>
  </si>
  <si>
    <t>MR.RGS - 355(0YM)</t>
  </si>
  <si>
    <t xml:space="preserve">	AND25630002441</t>
  </si>
  <si>
    <t>MR.RGS - 356(0YM)</t>
  </si>
  <si>
    <t>AND25630002442</t>
  </si>
  <si>
    <t>MR.RGS - 357(0YM)</t>
  </si>
  <si>
    <t>AND25630002443</t>
  </si>
  <si>
    <t>MR.RGS - 358(0YM)</t>
  </si>
  <si>
    <t>AND25630002444</t>
  </si>
  <si>
    <t>MR.RGS - 359(0YM)</t>
  </si>
  <si>
    <t>AND25630002445</t>
  </si>
  <si>
    <t>MR.RGS - 360(0YM)</t>
  </si>
  <si>
    <t xml:space="preserve">AND25630002446	</t>
  </si>
  <si>
    <t>MR.RGS - 361(0YM)</t>
  </si>
  <si>
    <t>AND25630002447</t>
  </si>
  <si>
    <t>MR.RGS - 362(0YM)</t>
  </si>
  <si>
    <t>AND25630002448</t>
  </si>
  <si>
    <t>MR.RGS - 363(0YM)</t>
  </si>
  <si>
    <t>AND25630002533</t>
  </si>
  <si>
    <t>MR.ANIMA DAS AK25051(31YM)</t>
  </si>
  <si>
    <t>Dr.Noel deep luke</t>
  </si>
  <si>
    <t xml:space="preserve">	AND25630002534	</t>
  </si>
  <si>
    <t>MR.ASHISH KUMAR DAS(44YM)</t>
  </si>
  <si>
    <t xml:space="preserve">	AND25630002452</t>
  </si>
  <si>
    <t>MR.KESHAV KUMAR (AK34434)(0YM)</t>
  </si>
  <si>
    <t>Dr.Vineshykaa</t>
  </si>
  <si>
    <t>Gender/Age</t>
  </si>
  <si>
    <t>Raw data sent</t>
  </si>
  <si>
    <t>Report sent link</t>
  </si>
  <si>
    <t>AND25630003569</t>
  </si>
  <si>
    <t>CMC-NOT BILLED</t>
  </si>
  <si>
    <t>AL-WE4-W-559 (6Y/M)</t>
  </si>
  <si>
    <t>Male/ 6 Years</t>
  </si>
  <si>
    <t>Christian Medical College - Haemotology</t>
  </si>
  <si>
    <t xml:space="preserve">DNA </t>
  </si>
  <si>
    <t>AND25630003570</t>
  </si>
  <si>
    <t>AL-WE4-W-560 (38Y/M)</t>
  </si>
  <si>
    <t>AND25630003571</t>
  </si>
  <si>
    <t>AL-WE4-W-562 (1Y/M)</t>
  </si>
  <si>
    <t>AND25630003572</t>
  </si>
  <si>
    <t>AL-WE4-W-568 (22Y/F)</t>
  </si>
  <si>
    <t>AND25630003573</t>
  </si>
  <si>
    <t>AL-WE4-W-570 (3Y/F)</t>
  </si>
  <si>
    <t>AND25630003574</t>
  </si>
  <si>
    <t>AL-WE4-W-571 (17Y/M)</t>
  </si>
  <si>
    <t>AND25630003344</t>
  </si>
  <si>
    <t>CMC</t>
  </si>
  <si>
    <t>BABY.THAHASEEN TABASSUM M S (973896H) (5Y|M)</t>
  </si>
  <si>
    <t>Christian Medical College - Medical Genetics</t>
  </si>
  <si>
    <t>PB</t>
  </si>
  <si>
    <t>AND25630003347</t>
  </si>
  <si>
    <t>MS.KALIGIRI PARVATHAMMA (AK83286) (27Y|F)</t>
  </si>
  <si>
    <t>AND25630003360</t>
  </si>
  <si>
    <t>MR.RUPESH KUMAR JHA(28YM)</t>
  </si>
  <si>
    <t>AND25630003592</t>
  </si>
  <si>
    <t xml:space="preserve">CMC  NOT BILLED </t>
  </si>
  <si>
    <t>AL-WES-W-616 (28Y/F)</t>
  </si>
  <si>
    <t>Dr.Shaji</t>
  </si>
  <si>
    <t>PB DNA</t>
  </si>
  <si>
    <t>AND25630003593</t>
  </si>
  <si>
    <t>AL-WES-W-627 (16Y/M)</t>
  </si>
  <si>
    <t>AND25630003594</t>
  </si>
  <si>
    <t>AL-WES-W-628 (23Y/M)</t>
  </si>
  <si>
    <t>AND25630003767</t>
  </si>
  <si>
    <t>MEL-1.130</t>
  </si>
  <si>
    <t>Christian Medical College  - Molecular Endocrinology</t>
  </si>
  <si>
    <t>AND25630003475</t>
  </si>
  <si>
    <t>FETUS OF JANANI CVS</t>
  </si>
  <si>
    <t xml:space="preserve">PB + CVS DNA </t>
  </si>
  <si>
    <t>NO Raw data sent</t>
  </si>
  <si>
    <t>AND25630003733</t>
  </si>
  <si>
    <t>SADMAN AHMED SAFI</t>
  </si>
  <si>
    <t xml:space="preserve">WHOLE EXOME SEQUENCING + MITOCHONDRIAL GENOME SEQUENCING </t>
  </si>
  <si>
    <t>AND25630003734</t>
  </si>
  <si>
    <t>PRIYA.K</t>
  </si>
  <si>
    <t>AND25630003582</t>
  </si>
  <si>
    <t>AL-WE6-W-648 (13Y/M)</t>
  </si>
  <si>
    <t>19-11-2025</t>
  </si>
  <si>
    <t>AND25630003583</t>
  </si>
  <si>
    <t>AL-WE6-W-643 (8Y/M)</t>
  </si>
  <si>
    <t>AND25630003584</t>
  </si>
  <si>
    <t>AL-WE6-W-647 (33Y/F)</t>
  </si>
  <si>
    <t>AND25630003585</t>
  </si>
  <si>
    <t>AL-WE6-W-646 (63Y/F)</t>
  </si>
  <si>
    <t>AND25630003586</t>
  </si>
  <si>
    <t>AL-WE6-CD-25-198 (21Y/M)</t>
  </si>
  <si>
    <t>AND25630003466</t>
  </si>
  <si>
    <t>cmc-HCGP</t>
  </si>
  <si>
    <t>MR.GANESHAN C (AK63035)(57YM)</t>
  </si>
  <si>
    <t>HEREDITARY CANCER GENE PANEL</t>
  </si>
  <si>
    <t>DR.VINESHY KAA .,</t>
  </si>
  <si>
    <t>AND25630003587</t>
  </si>
  <si>
    <t>MASTER.AL7-CD-25-199(8YM)</t>
  </si>
  <si>
    <t>22-11-2025</t>
  </si>
  <si>
    <t>AND25630003588</t>
  </si>
  <si>
    <t>BABY.AL7-W-660(1YF)</t>
  </si>
  <si>
    <t>AND25630003589</t>
  </si>
  <si>
    <t>BABY.AL7-W-661(1YF)</t>
  </si>
  <si>
    <t>AND25630003590</t>
  </si>
  <si>
    <t>MRS.AL7-CD-25-200(52YF)</t>
  </si>
  <si>
    <t>AND25630003591</t>
  </si>
  <si>
    <t>MR.AL7-WES-W-656(0YM)</t>
  </si>
  <si>
    <t>AND25630003595</t>
  </si>
  <si>
    <t>MASTER.AL7-W-653(9YM)</t>
  </si>
  <si>
    <t>AND25630003596</t>
  </si>
  <si>
    <t>MR.AL7-W-654(40YM)</t>
  </si>
  <si>
    <t>AND25630003597</t>
  </si>
  <si>
    <t>MS.AL7-W-657(23YF)</t>
  </si>
  <si>
    <t>AND25630003685</t>
  </si>
  <si>
    <t>BABY.AL8-W-667(2YM)</t>
  </si>
  <si>
    <t xml:space="preserve">AND25630003684	</t>
  </si>
  <si>
    <t>MS.AL8-W-668(12YF)</t>
  </si>
  <si>
    <t>AND25630003686</t>
  </si>
  <si>
    <t>BABY.AL8-W-669(1YM)</t>
  </si>
  <si>
    <t>AND25630003677</t>
  </si>
  <si>
    <t>MS.AL8-W-664(9YF)</t>
  </si>
  <si>
    <t xml:space="preserve">PB- DNA </t>
  </si>
  <si>
    <t>AND25630003678</t>
  </si>
  <si>
    <t>MASTER.AL8-W-665(13YM)</t>
  </si>
  <si>
    <t>AND25630003679</t>
  </si>
  <si>
    <t>MS.AL8-W-673(11YF)</t>
  </si>
  <si>
    <t>AND25630003680</t>
  </si>
  <si>
    <t>BABY.AL8-W-674(5YM)</t>
  </si>
  <si>
    <t>AND25630003682</t>
  </si>
  <si>
    <t>MR.AL8-W-675(34YM)</t>
  </si>
  <si>
    <t>AND25630003681</t>
  </si>
  <si>
    <t>AL- CD-25-201 ( 31Y/F)</t>
  </si>
  <si>
    <t>AND25630003683</t>
  </si>
  <si>
    <t>BABY.A8-CD-25-202(8YM)</t>
  </si>
  <si>
    <t>AND25630003729</t>
  </si>
  <si>
    <t>cmc</t>
  </si>
  <si>
    <t>MR.SHIBLAL G(14YM)</t>
  </si>
  <si>
    <t>WHOLE EXOME SEQUENCING + MITOCHONDRIAL GENOME SEQUENCING</t>
  </si>
  <si>
    <t>Peripheral Blood</t>
  </si>
  <si>
    <t>Shiblal G. (AN05229), Male, 14 years
Proband born to non- consanguineous marriage is presented with skeletal deformity, kyphoscoliosis. He is observed to have intraosseous venous malformation; unilateral limb swelling, motor weakness of limbs (motor regression). He was previously walking but now wheelchair bound with severe kyphoscoliosis. He has no intellectual disability and hyperpigmentation of skin over legs. He has been evaluated to rule out Klippel Trenaunay Syndrome and other genetic variations.</t>
  </si>
  <si>
    <t>28-11-2025</t>
  </si>
  <si>
    <t>AND25630003728</t>
  </si>
  <si>
    <t>MR.SONU SIGH(33YM)</t>
  </si>
  <si>
    <t>Sonu Singh (AK99219), Male, 33years
Proband born to non-consanguineous marriage is presented with bilateral foot drop, symmetrical bilateral wasting of muscles, hypotonia, started from distal muscle progressing to proximal muscle, no bowel and bladder involvement. MRI spine is normal and CT brain is normal. He has young onset of diabetes mellitus.  He has no affected sibling. He has been evaluated to rule out distal myopathy (GNE myopathy), young hereditary motor neuropathy (HMN) and other genetic variations.</t>
  </si>
  <si>
    <t>AND25630003735</t>
  </si>
  <si>
    <t>BABY.KOWSALYA'S BABY /AL82484(0MF)</t>
  </si>
  <si>
    <t>Kowsalya’s baby, female, 3 months
Proband is presented with oromotor dysplasia, congenital heart disease-patent ductus arteriosus. She is observed to be small for gestational age, has microcephaly, epicanthal folds, left pre-auricular sinus with poorly developed auricle with pre-auricular tags present and anteriorly rotated helix of ear, new onset of left lower motor neuron, palsy of face, USG scan of abdomen reported left hydronephrosis of kidney. She is suspected to be affected with Branchio-otorenal syndrome, CHARGE syndrome, gross malformation. She has no history of sibling affected with similar condition. She has been evaluated for pathogenic variations</t>
  </si>
  <si>
    <t>AND25630003700</t>
  </si>
  <si>
    <t>MR.RGS-364(0YM)</t>
  </si>
  <si>
    <t>Dr. Suceena Alexander, MD., DM., FRCP(Lon), FASN, PhD.,</t>
  </si>
  <si>
    <t>Christian Medical College - Nephrology</t>
  </si>
  <si>
    <t xml:space="preserve">RGS- 364, male, 30 years
Proband is fourth child born to non-consanguineous marriage presented hypertension, enlarged kidneys, cyst in left kidney, suggestive ADPKD (Autosomal dominant polycystic kidney disease). Routine laboratory investigations reported Hb: 12.5 g/dL, sr.cr: 0.81 mg/dL, urine analysis reported negative for glucose and protein and RBC: Nil. He has been evaluated for pathogenic variations.
</t>
  </si>
  <si>
    <t>AND25630003701</t>
  </si>
  <si>
    <t>MR.RGS-365(0YM)</t>
  </si>
  <si>
    <t xml:space="preserve">RGS- 365, female, 31 years
Proband is fifth child born to non- consanguineous marriage presented with nephrotic syndrome suggestive of hereditary nephritis. Em shows changes include segmental Alport like GBM (Glomerular Basement Membrane) multilaminate and lead shot deposits. She has family history of chronic glomerulonephritis. Elder brother is affected with autosomal recessive variant of MAPKBP1 gene. Eldest sister died of CKD suggestive FSGS (focal segmental glomerulonephritis). Laboratory investigations reported Hb: 13.7 g/dL, sr.cr: 0.40 mg/dL, urine analysis reported glucose: four positive, protein: positive, RBC: 4-5/hpf, 24 hour urine protein: 712 mg. She is suspected to be affected with hereditary nephritis. She has been evaluated for pathogenic variations.
</t>
  </si>
  <si>
    <t>AND25630003702</t>
  </si>
  <si>
    <t>MR.RGS-366(0YM)</t>
  </si>
  <si>
    <t xml:space="preserve">RGS-366, male, 56 years
Proband is second child born of non-consanguineous marriage presented with history of renal calculi in 2009, recently found to have cyst in kidney and proteinuria- 711mg. in 2023, he was found to have sr. cr: 1.5mg/dL, and increase in uric acid indicating gout. He has no family history of kidney disease. Routine lab investigations reported Hb: 14.8 g/dL, sr.cr: 1.72 mg/dL, urine analysis reported negative for glucose, positive for protein, RBC:0-1/ hpf. 24 hour urine protein: 711mg. He is suspected to be affected with CTIN (chronic tubulointerstitial nephritis), ADTKD (Autosomal dominant tubulointerstitial kidney disease). He has been evaluated for pathogenic variations.
</t>
  </si>
  <si>
    <t>AND25630003703</t>
  </si>
  <si>
    <t>MR.RGS-367(0YM)</t>
  </si>
  <si>
    <t xml:space="preserve">RGS- 367, Female, 36 years
Proband is third child born of non- consanguineous marriage presented with multiple cortical cyst in bilateral kidney. USG scan reported renal stone of 15mm. She has no family history of kidney disease. Routine lab investigations reported Hb: 12.9 g/dL, sr.cr: 0.72 mg/dL, urine analysis reported negative for protein and glucose, RBC: 3-4/hpf. She is suspected to be affected with ADPKD (autosomal dominant polycystic kidney disease). She has been evaluated for pathogenic variations.
</t>
  </si>
  <si>
    <t>AND25630003704</t>
  </si>
  <si>
    <t>MR.RGS-368(0YM)</t>
  </si>
  <si>
    <t xml:space="preserve">RGS- 368, female, 46 years
Proband, is first born of non- consanguineous marriage presented with family history of  CKD (chronic kidney disease) in her younger brother, sister, father who was on dialysis and underwent renal transplant. She has history of CKD in four maternal aunt. She is on maintained hemodialysis. Her sr.cr is 13.78 mg/dL. She is suspected to be affected with hereditary nephritis. She has been evaluated for pathogenic variations. 
</t>
  </si>
  <si>
    <t>AND25630003705</t>
  </si>
  <si>
    <t>MR.RGS-369(0YM)</t>
  </si>
  <si>
    <t>RGS-369, is a first born to a third –degree consanguineous parents. His renal biopsy revealed mesangiopathic IgA glomerulopathy with FSGS and on steroids from 2023 with sr. creatinine level  1.7mg/dL He has a family history of kidney disease in his paternal first cousin, who had underwent renal transplant with mother as donor. His lab test showed Hb-14.6g/dl, S.Creatinine-1.75 mg/dl, and urine routine: glucose-negative, protein-3 positive, RBC: 2-3/ hpf. 24hrs urine protein-120007mg. He is suspected to be affected with FSGS. RGS-369 has been evaluated for the pathogenic or likely pathogenic variations.</t>
  </si>
  <si>
    <t>AND25630003706</t>
  </si>
  <si>
    <t>MR.RGS-370(0YM)</t>
  </si>
  <si>
    <t>RGS-370, is born to a non- consanguineous parents. She has a strong family history of kidney disease in her late father, who was on dialysis and CKD in four of her paternal grandfather and father’s first cousin. Her lab test showed Hb-11.2 g/dl, S.Creatinine-0.8 mg/dl, and urine routine: glucose-negative, protein-2, RBC-41/hpf . RGS-370, is suspected of affected with Alport syndrome , hereditary nephritis and has been evaluated for the pathogenic or likely pathogenic variations.</t>
  </si>
  <si>
    <t>AND25630003707</t>
  </si>
  <si>
    <t>MR.RGS-371(0YM)</t>
  </si>
  <si>
    <t>RGS-371, is a first born to a non- consanguineous parents. He is presented with bladder infection and on antibiotics. He has no family history of kidney disease. His lab test showed Hb-11.2 g/dl, S.Creatinine-2.82 mg/dl, and urine routine: glucose-negative, protein-1, RBC-6/hpf, 24hrs urine protein-621mg. RGS-371, is suspected of NKD-Obstructive Uropathy, CAKUT (Congenital Anomalies of the Kidney and Urinary Tract) and has been evaluated for the pathogenic or likely pathogenic variations</t>
  </si>
  <si>
    <t>AND25630003708</t>
  </si>
  <si>
    <t>MR.RGS-372(0YM)</t>
  </si>
  <si>
    <t xml:space="preserve">RGS-372, Male, 31 years
Proband, is second child born or non-consanguineous marriage presented with proteinuria (9928 mg). Renal biopsy done in Feb 2025 reported FSGS (Focal segmental glomerulosclerosis)- adult onset nephrotic syndrome. Routine lab investigations reported Hb: 14.2 g/dL, sr.cr: 0.71 mg/dL. He has no history of kidney disease. He has been evaluated for pathogenic variations.
</t>
  </si>
  <si>
    <t>AND25630003709</t>
  </si>
  <si>
    <t>MR.RGS-373(0YM)</t>
  </si>
  <si>
    <t xml:space="preserve">RGS-373, Female, 19 years
Proband is second child born of non- consanguineous marriage presented with proteinuria and on medicine. She is suspected to be suggestive of FSGS (focal segmental glomerulosclerosis) adult onset of nephrotic syndrome. Routine lab investigations reported Hb: 11.9 g/dL, sr.cr:0.46/mg/dL, urine analysis reported negative for glucose, protein: triple positive, RBC: 11/hpf. 24 hours urine protein: 7952 mg. She has no family history of kidney disease. She is suspected to be affected with SRNS (Steroid resistant nephrotic syndrome). She has been evaluated for pathogenic variations.
</t>
  </si>
  <si>
    <t>AND25630003710</t>
  </si>
  <si>
    <t>MR.RGS-374(0YM)</t>
  </si>
  <si>
    <t xml:space="preserve">RGS-374, Male, 35 years
Proband is fourth born of non- consanguineous marriage presented with family history of CKD (chronic kidney disease) in father suspected ADPKD and was on dialysis since 2022. His elder brother has renal cysts. He has no known kidney disease. Routine blood investigations reported Hb: 14.7 g/dL, sr.cr: 0.93mg/dL, urine analysis reported negative for glucose and protein, RBC: 0-1/hpf. He is suspected to be suggestive of PKD (polycystic kidney disease) and has been evaluated for pathogenic variations.
</t>
  </si>
  <si>
    <t>AND25630003711</t>
  </si>
  <si>
    <t>MR.RGS-375(0YM)</t>
  </si>
  <si>
    <t xml:space="preserve">RGS-375, Male, 18 years
Proband is second born of non- consanguineous marriage presented with history of CKD (chronic kidney disease)since May 2025 with gall bladder stone and sr.cr: 1.99g/dL. He has no family history of kidney disease. He has no known kidney disease suggestive of  hereditary nephritis and systemic hypertension. Routine lab investigations reported Hb: 9.8 g/dL, sr.cr: 1.99 mg/dL. Urine analysis reported negative for glucose, positive for protein, RBC: 0-1/hpf. He has been evaluated for pathogenic variations.
</t>
  </si>
  <si>
    <t>AND25630003712</t>
  </si>
  <si>
    <t>MR.RGS-376(0YM)</t>
  </si>
  <si>
    <t xml:space="preserve">RGS-376,  Male, 38 years
Proband is fifth child born of non- consanguineous marriage presented with CKD (chronic kidney disease) since two years with sr.cr: 4.69 mg/dL, and on maintained hemodialysis since October 2025. He has no family history of kidney disease , no known kidney disease and have systemic  hypertension. Routine lab investigations reported Hb:9.5g/dL, sr.cr: 8.73 mg/dL, urine analysis reported negative for glucose, protein: double positive, RBC: 11/hpf, urine protein to creatinine ratio: 4.91 mg/mg. He is suspected to be affected with CKD. He has been evaluated for pathogenic variations.
</t>
  </si>
  <si>
    <t>AND25630003713</t>
  </si>
  <si>
    <t>MR.RGS-377(0YM)</t>
  </si>
  <si>
    <t xml:space="preserve">RGS-377, Female, 5 years
Proband is first born of non- consanguineous marriage presented with pedal edema and full body swelling since two years. She has childhood onset nephrotic syndrome, steroid and CIN resistant (secondary resistance), frequent relapse. Routine lab investigations reported Hb: 7.9 g/dL, sr.cr: 0.45 mg/dL, urine analysis reported negative for glucose, protein: triple positive, RBC: 21/hpf. Urine protein to creatinine ratio: 27.39 mg/mg. She is suspected to be affected with SRNS (steroid resistant nephrotic syndrome). She has been evaluated for pathogenic variations.
</t>
  </si>
  <si>
    <t>AND25630003714</t>
  </si>
  <si>
    <t>MR.RGS-378(0YM)</t>
  </si>
  <si>
    <t>RGS-378, 4 years, Male
Proband, born to non- consanguineous marriage is presented with hematuria, vomiting since July 2025. He has speech delay. He has nephrotic syndrome suggestive of post infectious Glomerulonephritis. There is no history of kidney disease. Routine lab investigations reported Hb-12g/dL, sr.cr: 0.37 mg/dL, 24 hours urine protein: 103 mg. urine analysis reported negative for glucose and protein, blood :2 positive and RBC: 34/hpf. There is no family history of similar condition. He is suspected to be affected with Steroid resistant nephrotic syndrome. He has been evaluated with pathogenic variations.</t>
  </si>
  <si>
    <t>AND25630003715</t>
  </si>
  <si>
    <t>MR.RGS-379(0YM)</t>
  </si>
  <si>
    <t>RGS-379, 35 years, female
Proband is third child born of non- consanguineous marriage, presented with history of kidney disease since 3.5 months. She has recurrent urinary tract infection with renal cortical scarring suggestive of CIN (contrast- induced nephropathy). Routine lab investigations reported Hb: 9.9g/dL, sr.cr: 1.22 mg/dL, urine analysis reported negative for glucose and protein, RBC: 1-2/hpf, 24 hours urine protein: 105 mg. She has family history of father’s paternal first cousin with CKD (chronic kidney disease) and was on dialysis. She is suspected to be affected with CIN, ADPKD, CKD. She has been evaluated for pathogenic variations</t>
  </si>
  <si>
    <t>AND25630003716</t>
  </si>
  <si>
    <t>MR.RGS-380(0YM)</t>
  </si>
  <si>
    <t>RGS-380, 39 years, Male
Proband is second child born of non- consanguineous marriage is presented with diagnosis of kidney disease in August with symptoms of vomiting and serum creatinine 13.9 mg/dL, currently on maintained hemodialysis. Biopsy done on 05/09/2025 reported  FSGS (probable primary), segmental sclerosis in 1/36 gloms. Repeat biopsy done on 22/10/2025 reported glomerulopathy with focal segmental glomerulosclerosis and low flow related changes. Routine lab investigations reported Hb: 8.8 g/dL, sr.cr: 12.12mg/dL, urine analysis reported glucose: 2 positive, protein: 2 positive, RBC: 0-1/hpf, 24 hours urine protein: 475 mg. He has no family history of similar condition. He has been evaluated for pathogenic variations.</t>
  </si>
  <si>
    <t>AND25630003717</t>
  </si>
  <si>
    <t>MR.RGS-381(0YM)</t>
  </si>
  <si>
    <t>RGS-381, male, 54 years
Proband, born to non- consanguineous marriage is presented with NKD (no known kidney diseases) suggestive of CIN (contrast induced nephropathy). Routine lab investigations reported Hb: 11.5 g/dL, sr. cr: 1.41 mg/dL, urine analysis reported negative for glucose and protein, RBC: Nil, 24 hours urine protein: 180 mg. He has family history of CKD (chronic kidney disease) in father (sr. cr: 3.4 mg/dL) succumbed to it and elder brother (sr. cr: 2.6 mg/dL) is on treatment. He is suspected to be affected with CIN, ADPKD. He has been evaluated for pathogenic variations.</t>
  </si>
  <si>
    <t>AND25630003718</t>
  </si>
  <si>
    <t>MR.RGS-382(0YM)</t>
  </si>
  <si>
    <t>RGS- 382, male, 53 years
Proband is fourth born of non- consanguineous marriage presented with increased serum creatinine level(1.7mg/dL) in July. In 2018, he was operated for gall bladder stone and found to have sr.cr of 1.4mg/dL. He has no family history of kidney disease. Routine lab investigations reported Hb: 16.8 g/dL, sr.cr: 1.57mg/dL, urine analysis reported negative for glucose and protein, RBC:0-1/hpf. He is suspected to be affected with CIN, ADPKD. He has been evaluated for pathogenic variations.</t>
  </si>
  <si>
    <t>AND25630003719</t>
  </si>
  <si>
    <t>MR.RGS-383(0YM)</t>
  </si>
  <si>
    <t xml:space="preserve">pathogenic variations
RGS-383, is a second born to a non- consanguineous parents. He is presented with abdominal pain-acute pancreatic and later diagnosed as CKD, pedal edema with increased sr. creatinine 5.6 mg/dL and proteinuria: triple positive. He is on dialysis since 6 months and has been planned for renal transplant. He has no family history of kidney disease. His lab test showed Hb-7.4 g/dl, S.Creatinine-13.46 mg/dl, and urine routine: glucose-2+, protein-3+, RBC-1-2/hpf. RGS-383 is suspected of suggestive TMA with cortical necrosis and has been evaluated for the pathogenic or likely pathogenic variations
</t>
  </si>
  <si>
    <t>AND25630003720</t>
  </si>
  <si>
    <t>MR.RGS-384(0YM)</t>
  </si>
  <si>
    <t xml:space="preserve">RGS-384, female, 59 years
Proband is first born of non- consanguineous marriage presented with bilateral pedal edema. She took etoricoxib tablet for knee pain and found to have serum creatinine level of 1.8 mg/dL.  Renal biopsy showed AA amyloidosis involving glomeruli, tubulo-interstitium and vessels; diffuse tubulo-interstitial scarring (60%) is observed. Routine lab investigations reported Hb: 11.0 g/dL, sr.cr: 1.30 mg/dL, urine analysis reported negative for glucose and protein, RBC: 21/hpf. She is suspected to be affected with hereditary amyloidosis. She has been evaluated for pathogenic variations.
</t>
  </si>
  <si>
    <t>AND25630003721</t>
  </si>
  <si>
    <t>MR.RGS-385(0YM)</t>
  </si>
  <si>
    <t xml:space="preserve">RGS- 385, female, 26 years
Proband is third child born of non-consanguineous marriage. In April 2025, she was presented with vomiting, UTI (urinary tract infection), pedal edema and facial puffiness with serum creatinine level of 7.8 mg/dL. In October, she was initiated on dialysis due to breathing difficulty and serum creatinine level 10.36 mg/dL, urea – 240 mg. She has no family history of kidney disease. Routine lab investigations reported negative for glucose, protein: double positive, RBC-6/hpf. She is suspected to be affected with CGN (chronic glomerulonephritis), Suggestive CKD of young onset. She has been evaluated for pathogenic variations
</t>
  </si>
  <si>
    <t>AND25630003722</t>
  </si>
  <si>
    <t>MR.RGS-386(0YM)</t>
  </si>
  <si>
    <t xml:space="preserve">RGS-386, male, 27 years
Proband is first born of non- consanguineous marriage diagnosed with CKD 9chronic kidney disease in 2019 with serum creatinine level 2.30 mg/dL. Renal biopsy reported C3GN (complement 3 Glomerulonephritis), DPGN (Diffuse Proliferative Glomerulonephritis) with predominant C3 deposits. He is initiated on hemodialysis since November 2025. Routine lab investigation reported Hb: 10.5 g/dL, sr.cr: 17.0 mg/dL, urine analysis reported glucose: negative, protein: triple positive, RBC: 4-5/ hpf. He is suspected to be affected with C2GN. He has been evaluated for pathogenic variations.
</t>
  </si>
  <si>
    <t>AND25630003723</t>
  </si>
  <si>
    <t>MR.RGS-387(0YM)</t>
  </si>
  <si>
    <t xml:space="preserve">RGS- 387, male, 36 years
Proband is third born of non- consanguineous marriage presented with recurrent kidney stone. In 2020, lithotripsy was done, in 2025 stone in urinary tract was found and lithotripsy done. Currently he has small size stones (one in right and two in left kidney). He has no family history of kidney stone or CKD (chronic kidney disease). Routine lab investigations reported Hb: 15.4 g/dL, sr.cr: 0.91 mg/dL, urine analysis reported negative for glucose and protein, RBC: 0-1/hpf. He is suspected to be affected with hyperoxaluria, renal stone disease. He has been evaluated for pathogenic variations
</t>
  </si>
  <si>
    <t>AND25630003724</t>
  </si>
  <si>
    <t>MR.RGS-388(0YM)</t>
  </si>
  <si>
    <t xml:space="preserve">
RGS- 388, female, 32 years
Proband is fourth child born of non- consanguineous marriage presented with small cysts in both kidney. She has family history of kidney disease in elder sister who died of CKD (chronic kidney disease (sr.cr: 18 mg/dL) and elder brother is on treatment (sr.cr: 1.4mg/dL). Routine lab investigation reported Hb: 8.4 g/dL, sr.cr: 4.3 mg/dl, urine analysis reported glucose: double positive, protein: negative, RBC: 0-1/hpf. She is suspected to be affected with ADPKD (autosomal dominant polycystic kidney disease). She has been evaluated for pathogenic variations.
</t>
  </si>
  <si>
    <t>AND25630003725</t>
  </si>
  <si>
    <t>MR.RGS-389(0YM)</t>
  </si>
  <si>
    <t xml:space="preserve">RGS-389, male, 33 years
Proband is 12th child born to non- consanguineous marriage presented with increased sr.cr level to 5 mg/dL. He has history of eye infection six months before. He has one big kidney and one small kidney. He has no family history of kidney disease. He has NKD, chronic glomerular nephritis. Biopsy done on 04/07/2025 reported glomerulopathy with focal segmental glomerulosclerosis and capillary wall thickening, diffuse acute tubular injury and moderate tubulointerstitial and on steroids. Routine lab investigations reported Hb: 9.7 g/dL, sr.cr: 2.96 mg/dL, urine analysis  reported  glucose: 4 positive, protein: 2 positive, RBC: 1-2/ hpf. He is suspected to be affected with FSGS (focal segmental glomerulosclerosis). He has been evaluated for pathogenic variations.
</t>
  </si>
  <si>
    <t>AND25630003726</t>
  </si>
  <si>
    <t>MR.RGS-390(0YM)</t>
  </si>
  <si>
    <t xml:space="preserve">RGS- 390, female, 34 years
Proband is first born of non- consanguineous marriage presented with rapidly progressive renal failure. She has severe pre-eclampsia with HELLP (Hemolysis, Elevated Liver enzymes and Low Platelets) syndrome and received few sessions of dialysis with sr.cr: 11.59 mg/dL. She had pre-term labor at 25 weeks 2 days and delivered  baby boy who succumbed to it after birth. Routine lab investigations reported Hb: 10.0 g/dL, sr.cr: 0.84 mg/dL, urine analysis reported negative for glucose and protein, RBC: 0-1/hpf. She is suspected to be affected with C3GN (complement 3 Glomerulonephritis), TMA (Thrombotic microangiopathy).She has been evaluated for pathogenic variations.
</t>
  </si>
  <si>
    <t>AND25630003727</t>
  </si>
  <si>
    <t>MR.RGS-391(0YM)</t>
  </si>
  <si>
    <t xml:space="preserve">
RGS- 391, Male, 40 years
Proband is second child born to non- consanguineous marriage presented with CKD (chronic kidney disease) and on maintained hemodialysis. He is observed to NKD, bilateral obstructive uropathy (right PUJ obstruction, left ureteric calculi). He has no family history of kidney disease. Routine lab investiagtions reported Hb: 11.0 g/dL, sr.cr: 8.33 mg/dL, urine analysis reported glucose: positive, protein: four positive, RBC: 50/hpf. He is suspected to be affected with CAKUT (Congenital anomalies of the kidneys and urinary tract). He has been evaluated for pathogenic variations.
</t>
  </si>
  <si>
    <t>MR.AL-WE3-W-529(22YM)</t>
  </si>
  <si>
    <t xml:space="preserve">AND25630002790	</t>
  </si>
  <si>
    <t>MR.PRADEEP KUMAR (AK34517)(0YM)</t>
  </si>
  <si>
    <t>AND25630002892</t>
  </si>
  <si>
    <t>MR.AL - WE - W - 420(18YM)</t>
  </si>
  <si>
    <t>Male/18Y</t>
  </si>
  <si>
    <t>AND25630002893</t>
  </si>
  <si>
    <t>MR.AL - WE - W 421(37YM)</t>
  </si>
  <si>
    <t>Male/37Y</t>
  </si>
  <si>
    <t>AND25630002895</t>
  </si>
  <si>
    <t>MR.AL-WE-W-422(27YM)</t>
  </si>
  <si>
    <t>Male/27Y</t>
  </si>
  <si>
    <t>AND25630002896</t>
  </si>
  <si>
    <t>MS.AL-WE-CD-25-178(17YF)</t>
  </si>
  <si>
    <t>Female/17Y</t>
  </si>
  <si>
    <t xml:space="preserve">	AND25630002897</t>
  </si>
  <si>
    <t>MS.AL-WE-W-426(32YF)</t>
  </si>
  <si>
    <t>Female/32Y</t>
  </si>
  <si>
    <t xml:space="preserve">AND25630002894	</t>
  </si>
  <si>
    <t>MS.AL-WE-WES-W-430(26YF)</t>
  </si>
  <si>
    <t>Female/26Y</t>
  </si>
  <si>
    <t>AND25630002898</t>
  </si>
  <si>
    <t>SOHANA KHATUM (16Y/F)</t>
  </si>
  <si>
    <t>Female/16Y</t>
  </si>
  <si>
    <t>WHOLE EXOME SEQUENCING+CNV</t>
  </si>
  <si>
    <t>AND25630003079</t>
  </si>
  <si>
    <t>FATHER SAMPLE OF AYUSH KUMAR - CMC NOT BILLED.</t>
  </si>
  <si>
    <t>Sujit Kumar</t>
  </si>
  <si>
    <t>Male/3Y</t>
  </si>
  <si>
    <t>Dr.Surjana Banik</t>
  </si>
  <si>
    <t>AND25630003053</t>
  </si>
  <si>
    <t>AL-WE2-W-448 (13Y/M)</t>
  </si>
  <si>
    <t>Male/13Y</t>
  </si>
  <si>
    <t>PB-DNA</t>
  </si>
  <si>
    <t>AND25630003054</t>
  </si>
  <si>
    <t>AL-WE2-W-449 (5Y/F)</t>
  </si>
  <si>
    <t>Femlae/5Y</t>
  </si>
  <si>
    <t>AND25630003055</t>
  </si>
  <si>
    <t>AL-WE2-W-453 (29Y/M)</t>
  </si>
  <si>
    <t>Male/29Y</t>
  </si>
  <si>
    <t>AND25630003056</t>
  </si>
  <si>
    <t>AL-WE2-W-454 (37Y/F)</t>
  </si>
  <si>
    <t>Female/37Y</t>
  </si>
  <si>
    <t>AND25630003057</t>
  </si>
  <si>
    <t>AL-WE2-W-465 (25Y/M)</t>
  </si>
  <si>
    <t>Male/25Y</t>
  </si>
  <si>
    <t>AND25630003058</t>
  </si>
  <si>
    <t>AL-WE2-W-469 (11Y/M)</t>
  </si>
  <si>
    <t>Male/11Y</t>
  </si>
  <si>
    <t>AND25630003059</t>
  </si>
  <si>
    <t>AL-WE2-W-466 (31Y/M)</t>
  </si>
  <si>
    <t>Male/31Y</t>
  </si>
  <si>
    <t>AND25630003052</t>
  </si>
  <si>
    <t>YAAZHACHARAN</t>
  </si>
  <si>
    <t>AND25630003061</t>
  </si>
  <si>
    <t>PRANSHU PANDEY</t>
  </si>
  <si>
    <t>CMC-WGS</t>
  </si>
  <si>
    <t>Pranshu Pandey (AH34568), Male, 7.5 years old
Proband born to non- consanguineous parent is presented with complain of seizures from 1.5 years. He is observed to have global developmental delay and multiple CALMS (café-au-lait macules). MRI shows FASI (Focal areas of signal intensity) in the brain suspecting NF1 (Neurofibromatosis type 1). Clinical exome was done and found variant of uncertain significance for ARGHEF9 gene. MLPA and NF1 panel tests were reported negative. He has been evaluated for pathogenic variations.</t>
  </si>
  <si>
    <t>AND25630003060</t>
  </si>
  <si>
    <t>KRISHNA SAHA</t>
  </si>
  <si>
    <t>Male/26Y</t>
  </si>
  <si>
    <t>Dr.Vineshykaa/ Dr.Sunita Danda</t>
  </si>
  <si>
    <t>AND25630003062</t>
  </si>
  <si>
    <t>RUHIRANI</t>
  </si>
  <si>
    <t>Ruhi Rani, Female, 16 years
Proband born to non-consanguineous parents is presented with cutaneous neurofibromas (scalp and palms) and plexiform neurofibroma (left thigh). She has no intellectual disability. She has hyperpigmented macules over body since 5 years of age. She is observed to have decreased eye vision and uses spectacles. There is no family history of similar condition. MLPA and NF1 panel test was reported negative. She has been evaluated for pathogenic variations.</t>
  </si>
  <si>
    <t>AND25630003063</t>
  </si>
  <si>
    <t>PRIYANKA KUMARI</t>
  </si>
  <si>
    <t>AND25630003091</t>
  </si>
  <si>
    <t>MRS.KOMATHI E (AJ37405) (55Y|F)</t>
  </si>
  <si>
    <t>Female/55Y</t>
  </si>
  <si>
    <t>Proband, Mrs. Komathi E is presented with multiple basal cell carcinoma. She has family history of epidermodysplasia
verruciformis in siblings. To rule out basal cell carcinoma and of epidermodysplasia verruciformis genes. She has been
evaluated for pathogenic variations.</t>
  </si>
  <si>
    <t>AND25630003161</t>
  </si>
  <si>
    <t>MR.RAKESH(AK69976) (16Y|M)</t>
  </si>
  <si>
    <t>Male/16Y</t>
  </si>
  <si>
    <t>Proband, Mr. Rakesh was born to non-consanguineous parents is presented with flexion contracture deformity of 5th
PIP joint and 5th little toe, progressing to other fingers. He is observed to have camptodatcyly of face, small palate,
small mandible, triangular face. He has family history of motor neuron disease in paternal uncle suspecting presence
of CAMPD1 gene. He is suspected to be affected with contracture deformity. Proband, Mr. Rakesh has been evaluated
for pathogenic variations .Proband, Mr. Rakesh was born to non-consanguineous parents is presented with flexion contracture deformity of 5th
PIP joint and 5th little toe, progressing to other fingers. He is observed to have camptodatcyly of face, small palate,
small mandible, triangular face. He has family history of motor neuron disease in paternal uncle suspecting presence
of CAMPD1 gene. He is suspected to be affected with contracture deformity. Proband, Mr. Rakesh has been evaluated
for pathogenic variations .</t>
  </si>
  <si>
    <t>AND25630003174</t>
  </si>
  <si>
    <t>TRIO CASE</t>
  </si>
  <si>
    <t>MRS.PRASANNA (126332P)(26YF)</t>
  </si>
  <si>
    <t>Mr. Gowtham and Mrs. Prasanna are non -consanguineous married couple. They have index child baby Vedansh diagnosed with primary neonatal hypoparathyroidism and hypercalcemia. Clinical exome show variant which does not fit with the phenotype in gene CASR at exon 3 (c.467T&gt;G;p.leu156Arg). Couple and the baby have been evaluated for pathogenic variations</t>
  </si>
  <si>
    <t>AND25630003173</t>
  </si>
  <si>
    <t>MR.GOWTHAM KUMAR (AK76322)(31YM)</t>
  </si>
  <si>
    <t>AND25630003175</t>
  </si>
  <si>
    <t>BABY.VEDANSH (145055P)(3YM)</t>
  </si>
  <si>
    <t>AND25630003201</t>
  </si>
  <si>
    <t>MS.WES 303/25(12YF)</t>
  </si>
  <si>
    <t>Female/12Y</t>
  </si>
  <si>
    <t>Whole Exome Sequencing + Mitochondrial Genome Sequencing</t>
  </si>
  <si>
    <t>Dr.Vandana Kamath</t>
  </si>
  <si>
    <t>CHRISTIAN MEDICAL COLLEGE - CYTOGENETICS</t>
  </si>
  <si>
    <t>WES/303, Female, 12 years
Proband is presented with complain of juvenile absence epilepsy. She is observed to have abnormal behavior. She has family history of polycystic kidney disease in mother and grandfather. She has been evaluated for pathogenic variations.</t>
  </si>
  <si>
    <t>AND25630003178</t>
  </si>
  <si>
    <t>AF DNA RECEIVED ON 24-10-2025.. CMC NOT BILLED .. MCC CLEARED</t>
  </si>
  <si>
    <t>MS.REKHA S (612589B)(0YF) AF</t>
  </si>
  <si>
    <t>WHOLE EXOME SEQUENCING Rapid exome</t>
  </si>
  <si>
    <t>AF DNA + PB</t>
  </si>
  <si>
    <t>Mrs. Rekha is presented with history of fresh still birth at 40 weeks during first pregnancy and delivered baby boy with aqueductal stenosis. She has history of atrial septal defect which was closed at the age of eight years. She is presently pregnant and the fetus has been evaluated for pathogenic variations.</t>
  </si>
  <si>
    <t>NOT release</t>
  </si>
  <si>
    <t>AND25630003240</t>
  </si>
  <si>
    <t>CMC VELLORE- BILLED on 29-10-2025.. TOTAL VOLUME 25ML AF ..10ML GIVEN FOR BACKUP CULTURE..MCC GIVEN ON 29-10-2025..</t>
  </si>
  <si>
    <t>MS.FETAL OF SIVARANJINI (884368P)(30YF) AF</t>
  </si>
  <si>
    <t>PB+AF</t>
  </si>
  <si>
    <t>28-10-2025</t>
  </si>
  <si>
    <t>AND25630003248</t>
  </si>
  <si>
    <t>WES 304/25</t>
  </si>
  <si>
    <t>29-10-2025</t>
  </si>
  <si>
    <t>AND25630003241</t>
  </si>
  <si>
    <t>MS.AL-WE3-W-527(30YF)</t>
  </si>
  <si>
    <t>AND25630003242</t>
  </si>
  <si>
    <t>AND25630003243</t>
  </si>
  <si>
    <t>MR.AL-WE3-W-538(41YM)</t>
  </si>
  <si>
    <t>AND25630003244</t>
  </si>
  <si>
    <t>MR.AL-WE3-W-539(22YM)</t>
  </si>
  <si>
    <t>AND25630003245</t>
  </si>
  <si>
    <t>MR.AL-WE3-CD-25-192(13YM)</t>
  </si>
  <si>
    <t>AND25630003599</t>
  </si>
  <si>
    <t>VINOD S-HPT-0004</t>
  </si>
  <si>
    <t>AND25630003600</t>
  </si>
  <si>
    <t>GUMMIDI SATISH KUMAR-HPT-0008</t>
  </si>
  <si>
    <t>AND25630003601</t>
  </si>
  <si>
    <t>RAJENDAR-HPT-0016</t>
  </si>
  <si>
    <t>AND25630003602</t>
  </si>
  <si>
    <t>NOUSHAD P-HPT-0019</t>
  </si>
  <si>
    <t>AND25630003603</t>
  </si>
  <si>
    <t>TARUN ROY-HPT-0020</t>
  </si>
  <si>
    <t>AND25630003604</t>
  </si>
  <si>
    <t>GEETHA RANI-HBD-69</t>
  </si>
  <si>
    <t>AND25630003605</t>
  </si>
  <si>
    <t>SK SALMA-HBD-71</t>
  </si>
  <si>
    <t>AND25630003606</t>
  </si>
  <si>
    <t>SHWANA ASFA-HBD-73</t>
  </si>
  <si>
    <t>AND25630003608</t>
  </si>
  <si>
    <t>SHAKEENA TULFATHA-HBD-75</t>
  </si>
  <si>
    <t>AND25630003609</t>
  </si>
  <si>
    <t>RAMESH-HBD-76</t>
  </si>
  <si>
    <t>AND25630003610</t>
  </si>
  <si>
    <t>KARTHI R-HBD-77</t>
  </si>
  <si>
    <t>AND25630003611</t>
  </si>
  <si>
    <t>SANGEETHA D-HBD-78</t>
  </si>
  <si>
    <t>AND25630003612</t>
  </si>
  <si>
    <t>HARINI-HBD-79</t>
  </si>
  <si>
    <t>AND25630003613</t>
  </si>
  <si>
    <t>MADHAN-HBD-84</t>
  </si>
  <si>
    <t>AND25630003614</t>
  </si>
  <si>
    <t>HALEEMA SATHYA-HBD-85</t>
  </si>
  <si>
    <t>AND25630003345</t>
  </si>
  <si>
    <t>PANYE PIKA</t>
  </si>
  <si>
    <t xml:space="preserve">CHRISTIAN MEDICAL COLLEGE  - MEDICAL GENTICS
</t>
  </si>
  <si>
    <t>AND25630003346</t>
  </si>
  <si>
    <t>ZALALUDDIN AHMED</t>
  </si>
  <si>
    <t>AND25630003264</t>
  </si>
  <si>
    <t>CMC VELLORE- BILLED</t>
  </si>
  <si>
    <t xml:space="preserve"> MRS.NIDHI S. SAJAN(AA54740) (6Y|F)</t>
  </si>
  <si>
    <t xml:space="preserve">AND25630003788	</t>
  </si>
  <si>
    <t>BABY.AL9-W-689(2YF)</t>
  </si>
  <si>
    <t>AND25630003789</t>
  </si>
  <si>
    <t>MR.AL9-W-694(72YM)</t>
  </si>
  <si>
    <t xml:space="preserve">AND25630003790	</t>
  </si>
  <si>
    <t>MRS.AL9-W-698(38YF)</t>
  </si>
  <si>
    <t>AND25630003791</t>
  </si>
  <si>
    <t>BABY.AL9-W-677(9YF)</t>
  </si>
  <si>
    <t>AND25630003792</t>
  </si>
  <si>
    <t>MR.AL9-W-676(42YM)</t>
  </si>
  <si>
    <t xml:space="preserve">	AND25630003793</t>
  </si>
  <si>
    <t>BABY.AL9-W-684(3YF)</t>
  </si>
  <si>
    <t>AL9-W-697 (11Y/F)</t>
  </si>
  <si>
    <t xml:space="preserve">AND25630003794	</t>
  </si>
  <si>
    <t>MR.AL9-W-693(37YM)</t>
  </si>
  <si>
    <t>AND25630003795</t>
  </si>
  <si>
    <t>MASTER.AL9-W-691(10YM)</t>
  </si>
  <si>
    <t>AL9-W-700 (60Y/F)</t>
  </si>
  <si>
    <t>AND25630003832</t>
  </si>
  <si>
    <t>cmc vellore</t>
  </si>
  <si>
    <t>BABY.DARUK(AN08220)(5YM)</t>
  </si>
  <si>
    <t>AND25630003822</t>
  </si>
  <si>
    <t>MR.AL10-W-702(31YM)</t>
  </si>
  <si>
    <t>AND25630003823</t>
  </si>
  <si>
    <t>MR.AL10-W-713(36YM)</t>
  </si>
  <si>
    <t>AND25630003824</t>
  </si>
  <si>
    <t>MR.AL10-W-719(27YM)</t>
  </si>
  <si>
    <t>AND25630003825</t>
  </si>
  <si>
    <t>BABY.AL10-W-720(1YF)</t>
  </si>
  <si>
    <t>AND25630003828</t>
  </si>
  <si>
    <t>MASTER.AL10-W-710(15YM)</t>
  </si>
  <si>
    <t>AND25630003829</t>
  </si>
  <si>
    <t>MR.AL10-W-709(65YM)</t>
  </si>
  <si>
    <t>AND25630003830</t>
  </si>
  <si>
    <t>MASTER.AL10-W-705(15YM)</t>
  </si>
  <si>
    <t>AND25630003870</t>
  </si>
  <si>
    <t>MR.AL11-CD-25-206(16YM)</t>
  </si>
  <si>
    <t>AND25630003871</t>
  </si>
  <si>
    <t>MR.AL11-W-738(0YM)</t>
  </si>
  <si>
    <t>AND25630003872</t>
  </si>
  <si>
    <t>MR.AL11-W-727(50YM)</t>
  </si>
  <si>
    <t>AND25630003873</t>
  </si>
  <si>
    <t>BABY.AL11-W-733(2YM)</t>
  </si>
  <si>
    <t>AND25630003874</t>
  </si>
  <si>
    <t>MR.AL11-W-739(22YM)</t>
  </si>
  <si>
    <t>AND25630003875</t>
  </si>
  <si>
    <t>MASTER.AL11-W-721(8YM)</t>
  </si>
  <si>
    <t>AND25630003876</t>
  </si>
  <si>
    <t>MS.AL11-W-730(0YF)</t>
  </si>
  <si>
    <t>AND25630003877</t>
  </si>
  <si>
    <t>MR.AL11-W-724(29YM)</t>
  </si>
  <si>
    <t>HBD100 ( ARUN KUMAR)</t>
  </si>
  <si>
    <t>AND25630003892</t>
  </si>
  <si>
    <t>MR.MEL 13732(0YM)</t>
  </si>
  <si>
    <t>Dr.Nihal Thomas</t>
  </si>
  <si>
    <t>CHRISTIAN MEDICAL COLLEGE - MOLECULAR ENDOCRINOLOGY</t>
  </si>
  <si>
    <t>AND25630003893</t>
  </si>
  <si>
    <t>MR.MEL 13652(0YM)</t>
  </si>
  <si>
    <t>AND25630003894</t>
  </si>
  <si>
    <t>MR.MEL 14033(0YM)</t>
  </si>
  <si>
    <t>AND25630003895</t>
  </si>
  <si>
    <t>MR.MEL 15729(0YM)</t>
  </si>
  <si>
    <t>AND25630003896</t>
  </si>
  <si>
    <t>MR.MEL 15764(0YM)</t>
  </si>
  <si>
    <t>Dr.Shyam Sundar</t>
  </si>
  <si>
    <t>AND25630003897</t>
  </si>
  <si>
    <t>MR.MEL 15766(0YM)</t>
  </si>
  <si>
    <t>Dr.Mohammed Anwar</t>
  </si>
  <si>
    <t>AND25630003898</t>
  </si>
  <si>
    <t>MR.MEL 15795(0YM)</t>
  </si>
  <si>
    <t>not billed</t>
  </si>
  <si>
    <t>PRONAY CHOWDHURY (22Y/M)  HPT0001</t>
  </si>
  <si>
    <t>13-12-2025</t>
  </si>
  <si>
    <t>AMITAVA CHATTERJEE (29Y/M) HPT0002</t>
  </si>
  <si>
    <t>RAGI REDDY RAMESH (38Y/M)  HPT0003</t>
  </si>
  <si>
    <t>SENTHIL KUMAR (53Y/M) HPT0005</t>
  </si>
  <si>
    <t>NASHAR MOHAMED (36Y/M) HPT0006</t>
  </si>
  <si>
    <t>CHELLAPANDIAN (28Y/M) HPT0007</t>
  </si>
  <si>
    <t>SUHAIR THANGAL B.K (29Y/M) HPT0010</t>
  </si>
  <si>
    <t>VISHAL RAI (21Y/M) HPT0011</t>
  </si>
  <si>
    <t>SAKTHIVEL S (45Y/M) HPT0012</t>
  </si>
  <si>
    <t>JOSE K (59Y/M) HPT0013</t>
  </si>
  <si>
    <t>MALIBULLAH (27Y/M) HPT0017</t>
  </si>
  <si>
    <t>ARMAN (18Y/M) HPT0021</t>
  </si>
  <si>
    <t>AND25630003980</t>
  </si>
  <si>
    <t>AL12-W-741 (OY/M)</t>
  </si>
  <si>
    <t>AND25630003981</t>
  </si>
  <si>
    <t>AL12-W-745 (13Y/M)</t>
  </si>
  <si>
    <t>AND25630003982</t>
  </si>
  <si>
    <t>AL12-W-753 (40Y/F)</t>
  </si>
  <si>
    <t>AND25630003983</t>
  </si>
  <si>
    <t>CMC VELLORE WES</t>
  </si>
  <si>
    <t>MR.MANOJ MONDAL(AN10430)(32YM)</t>
  </si>
  <si>
    <t>17-12-2025</t>
  </si>
  <si>
    <t xml:space="preserve">AND25630003984        </t>
  </si>
  <si>
    <t>MR.SIVARAMAKRISHNAN.D(AN19826)(18YM)</t>
  </si>
  <si>
    <t>16-12-2025</t>
  </si>
  <si>
    <t>AND25630003972</t>
  </si>
  <si>
    <t>BABY.RISHIKA KUMARI (AN26518)(13YF)</t>
  </si>
  <si>
    <t>Dr.Noel Deep luke</t>
  </si>
  <si>
    <t>18-12-2025</t>
  </si>
  <si>
    <t>AND25630003973</t>
  </si>
  <si>
    <t>MS.VARSHA S K (AN24489)(18YF)</t>
  </si>
  <si>
    <t>AND25630003978</t>
  </si>
  <si>
    <t>CMC VELLORE WES..INHOUSE AND REMAINING 6 ML FOR WES BACKUP CULTURE ON 18-12-2025..MCC GIVEN ON 18-12-2025..MCC CLEARED..</t>
  </si>
  <si>
    <t>BABY.FETAL OF PAVITHRA R (AN31539)(0YF)</t>
  </si>
  <si>
    <t>1AF+1PB</t>
  </si>
  <si>
    <t>No Raw data sent</t>
  </si>
  <si>
    <t>AND25630003974</t>
  </si>
  <si>
    <t>BABY.AL13-CD-25-210(12YF)</t>
  </si>
  <si>
    <t>AND25630003975</t>
  </si>
  <si>
    <t>BABY.AL13-CD-25-211(0YM)</t>
  </si>
  <si>
    <t>AND25630003976</t>
  </si>
  <si>
    <t>MR.AL13-W-774(27YM)</t>
  </si>
  <si>
    <t>AND25630003977</t>
  </si>
  <si>
    <t>BABY.AL13-W-751(9YF)</t>
  </si>
  <si>
    <t>SANJANA .S</t>
  </si>
  <si>
    <t>21-12-2025</t>
  </si>
  <si>
    <t>baby of sanjana.s</t>
  </si>
  <si>
    <t>fetus of RAMYA .T</t>
  </si>
  <si>
    <t>AND25630004066</t>
  </si>
  <si>
    <t>BABY.KAYALVIZHI(AN14986)(1YF)</t>
  </si>
  <si>
    <t>24-12-2025</t>
  </si>
  <si>
    <t>AND25630004059</t>
  </si>
  <si>
    <t>BABY.VIDYUTH (691262P)(3YM)</t>
  </si>
  <si>
    <t xml:space="preserve"> AND25630004058</t>
  </si>
  <si>
    <t>MRS.SOFIA MERCY (AN23502)(31YF)</t>
  </si>
  <si>
    <t>AL14-W-793 (7Y/F)</t>
  </si>
  <si>
    <t>AL14-W-798 (9Y/M)</t>
  </si>
  <si>
    <t>AL14-W-800  (13Y/M)</t>
  </si>
  <si>
    <t>AL14-W-801 (23Y/M)</t>
  </si>
  <si>
    <t>AL14-W-806 (14Y/F)</t>
  </si>
  <si>
    <t>AL14-W-816 (22Y/F)</t>
  </si>
  <si>
    <t>AL14-W-821 (8Y/M)</t>
  </si>
  <si>
    <t>AL15-W-835 (13Y/M)</t>
  </si>
  <si>
    <t>27-12-2025</t>
  </si>
  <si>
    <t>AL15-W-804 (28Y/M)</t>
  </si>
  <si>
    <t>AL15-W-828 (29Y/F)</t>
  </si>
  <si>
    <t>AL15-W-839 (23Y/M)</t>
  </si>
  <si>
    <t>AL15-W-841  (22Y/F)</t>
  </si>
  <si>
    <t>AND25630004120</t>
  </si>
  <si>
    <t>MR.RITAM KAYAL (AK76757)(0YM)</t>
  </si>
  <si>
    <t>28-12-2025</t>
  </si>
  <si>
    <t>AND25790018515</t>
  </si>
  <si>
    <t>CMC VELLORE WES..IN EDTA TUBE PT NAMED AS ATHIRSTALAKSHMI BUT BILLED AS ATHISHTALAKSHMI..BILLING NAME CORRECTED AS ATHIRSTALAKSHMI INFORMED BY GAYATHRI MAM ON 26-12-2025..</t>
  </si>
  <si>
    <t>MRS.ATHIRSTALAKSHMI(42YF)</t>
  </si>
  <si>
    <t>DR.SATHISH LOGANATHAN ,.</t>
  </si>
  <si>
    <t>AND25630004213</t>
  </si>
  <si>
    <t>Client Department</t>
  </si>
  <si>
    <t>AND25630004223</t>
  </si>
  <si>
    <t>BABY.AL16-W-872(1YM)</t>
  </si>
  <si>
    <t>AND25630004224</t>
  </si>
  <si>
    <t>MS.AL16-W-863(16YF)</t>
  </si>
  <si>
    <t>AND25630004225</t>
  </si>
  <si>
    <t>MS.AL16-W-855(18YF)</t>
  </si>
  <si>
    <t>AND25630004226</t>
  </si>
  <si>
    <t>BABY.AL16-W-848(9YF)</t>
  </si>
  <si>
    <t>AND25630004227</t>
  </si>
  <si>
    <t>MR.AL16-W-844(59YM)</t>
  </si>
  <si>
    <t>AND25630004228</t>
  </si>
  <si>
    <t>MRS.AL16-W-847(32YF)</t>
  </si>
  <si>
    <t>AND25630004229</t>
  </si>
  <si>
    <t>MR.AL16-W-854(39YM)</t>
  </si>
  <si>
    <t>AND25630004230</t>
  </si>
  <si>
    <t>MRS.AL16-W-846(58YF)</t>
  </si>
  <si>
    <t>AND25630004231</t>
  </si>
  <si>
    <t>MRS.AL16-CD-25-221(47YF)</t>
  </si>
  <si>
    <t>AND25630004216</t>
  </si>
  <si>
    <t>CMC VELLORE WES+MGS.. IN EDTA TUBE PT NAMED AS JESWANTH AND BILLING ALSO BUT IN TRF NAMED AS JASWANTH..WAITING FOR NAME CONFIRMATION..</t>
  </si>
  <si>
    <t>BABY.JESWANTH(519157G)(9YM)</t>
  </si>
  <si>
    <t>AND25630004212</t>
  </si>
  <si>
    <t>BABY.UDITEE RUDRA(AK71163)(5YF)</t>
  </si>
  <si>
    <t>Viditee Rudra (AK71163), Female, 5 years
Proband is presented with developmental delay, speech delay, dysmorphism. She is suspected to have Williams syndrome but no supravalvular aortic stenosis. She has been evaluated for pathogenic variations.</t>
  </si>
  <si>
    <t>BABY.JEET KUNDU(AN38970)(7YM)</t>
  </si>
  <si>
    <t>Jeet Kundu (AN38970), Male, 7 years
Proband is presented with one CALM (café au late macule), large ears, prominent eyes, long eye lashes, prominent cheeks, tented upper lip, open mouth, blunt tip of nose, large ear lobes. His head circumference is 45.8 cm, microcephaly. He is observed to have developmental delay, ASD (os type). He has been evaluated for pathogenic variations.</t>
  </si>
  <si>
    <t>AND25630004214</t>
  </si>
  <si>
    <t>MASTER.ADITYA KUMAR(AN12978)(14YM)</t>
  </si>
  <si>
    <t>Aditya Kumar (AN12978), Male
Proband is presented with multiple osteochondromas (internal), femoral neck, bilateral pubic bones suggestive of multiple exostoses. He has been evaluated for pathogenic variations.</t>
  </si>
  <si>
    <t>AND25630004215</t>
  </si>
  <si>
    <t>BABY.HEMANIKA(AH31586)(7YF)</t>
  </si>
  <si>
    <t>Hemanika (AH31586), female, 7 years
Proband is presented with developmental delay. She is observed to have bilateral hearing loss, one CALM (café au latte macule), one white patch, broad forehead, macrognathia, deep creases in palm, hypermobility, S1, S2 present, learning needs, allergic rhinitis. She has history of seizures in neonatal period- one in six months. She has family history of hearing concerns. She has been evaluated for pathogenic variations.</t>
  </si>
  <si>
    <t>AND25630004217</t>
  </si>
  <si>
    <t>MS.ANJALI VARMA.R(AF56567)(0YF)</t>
  </si>
  <si>
    <t>Anjali Varma (AF56567), female
Proband is presented with suggestive Birt-hogg-Dube syndrome. She had miscarriage at 7th week; IVF was not successful. She is myopic since 7th standard. Her arm span is 178 cm; wrist sign and thumb sign is negative. She is observed have high arched palate, infertility, marfanoid habitus, no scoliosis, hyperprolactinemia, obesity and bilateral cystic lung disease. She has been evaluated for pathogenic variations</t>
  </si>
  <si>
    <t>AND25630004326</t>
  </si>
  <si>
    <t>MS.AL17-CD-25-222(11YF)</t>
  </si>
  <si>
    <t>AND25630004327</t>
  </si>
  <si>
    <t>MR.AL17-W-852(32YM)</t>
  </si>
  <si>
    <t>AND25630004344</t>
  </si>
  <si>
    <t xml:space="preserve"> CMC VELLORE WES</t>
  </si>
  <si>
    <t>MASTER.VETRIMARAN(AN31739)(15YM)</t>
  </si>
  <si>
    <t>AND25630004341</t>
  </si>
  <si>
    <t xml:space="preserve"> CMC VELLORE WES....REEXTRACT HAS BE DONE ON 10-01-2026..</t>
  </si>
  <si>
    <t>MASTER.YUSUF ANWAR (770263P)(13YM)</t>
  </si>
  <si>
    <t>AND25630004340</t>
  </si>
  <si>
    <t>BABY.JOTHIKA DAYALAN S BABU (AN43823) (1M|F) 12-11-2025</t>
  </si>
  <si>
    <t>AND25630004342</t>
  </si>
  <si>
    <t>BABY.KANSHIKA S (AN41428)(4YF)</t>
  </si>
  <si>
    <t>AND25630004354</t>
  </si>
  <si>
    <t>CMC VELLORE SAMPLE BILLED ON 10-01-2026</t>
  </si>
  <si>
    <t>BABY.AL18-W-887(1YM)</t>
  </si>
  <si>
    <t>AND25630004355</t>
  </si>
  <si>
    <t>MASTER.AL18-W-889(12YM)</t>
  </si>
  <si>
    <t>AND25630004356</t>
  </si>
  <si>
    <t>BABY.AL18-W-896(1YM)</t>
  </si>
  <si>
    <t>AND25630004357</t>
  </si>
  <si>
    <t>MS.AL18-W-897(13YF)</t>
  </si>
  <si>
    <t>AND25630004358</t>
  </si>
  <si>
    <t>MASTER.AL18-W-891(13YM)</t>
  </si>
  <si>
    <t>AND25630004359</t>
  </si>
  <si>
    <t>MRS.AL18-W-883(52YF)</t>
  </si>
  <si>
    <t>AND25630004360</t>
  </si>
  <si>
    <t>MR.AL18-W-885(22YM)</t>
  </si>
  <si>
    <t>AND25630004361</t>
  </si>
  <si>
    <t>BABY.AL18-W-740(3YM)</t>
  </si>
  <si>
    <t>AND25630004362</t>
  </si>
  <si>
    <t>MRS.AL18-W-655(48YF)</t>
  </si>
  <si>
    <t>AND25630004428</t>
  </si>
  <si>
    <t>CMC VELLORE WES BILLED ON 14-1-2026</t>
  </si>
  <si>
    <t>MASTER.RGS-392(13YM)</t>
  </si>
  <si>
    <t>13-01-2026</t>
  </si>
  <si>
    <t>AND25630004419</t>
  </si>
  <si>
    <t>MRS.RGS-393(30YF)</t>
  </si>
  <si>
    <t>AND25630004420</t>
  </si>
  <si>
    <t>MRS.RGS-394(30YF)</t>
  </si>
  <si>
    <t>AND25630004421</t>
  </si>
  <si>
    <t>MS.RGS-395(25YF)</t>
  </si>
  <si>
    <t>AND25630004422</t>
  </si>
  <si>
    <t>MR.RGS-396(26YM)</t>
  </si>
  <si>
    <t>AND25630004423</t>
  </si>
  <si>
    <t>MR.RGS-397(60YM)</t>
  </si>
  <si>
    <t>AND25630004424</t>
  </si>
  <si>
    <t>MRS.RGS-398(31YF)</t>
  </si>
  <si>
    <t>AND25630004425</t>
  </si>
  <si>
    <t>MR.RGS-399(45YM)</t>
  </si>
  <si>
    <t>AND25630004426</t>
  </si>
  <si>
    <t>MASTER.RGS-400(11YM)</t>
  </si>
  <si>
    <t>AND25630004427</t>
  </si>
  <si>
    <t>MR.RGS-401(20YM)</t>
  </si>
  <si>
    <t>AND25630004411</t>
  </si>
  <si>
    <t xml:space="preserve">CMC VELLORE WES </t>
  </si>
  <si>
    <t>MR.AL19-W-906(27YM)</t>
  </si>
  <si>
    <t>14-01-2026</t>
  </si>
  <si>
    <t>AND25630004412</t>
  </si>
  <si>
    <t>MR.AL19-CD-26-02(44YM)</t>
  </si>
  <si>
    <t>AND25630004413</t>
  </si>
  <si>
    <t>MR.AL19-W-923(30YM)</t>
  </si>
  <si>
    <t>AND25630004414</t>
  </si>
  <si>
    <t>BABY.AL19-CD-26-03(3YF)</t>
  </si>
  <si>
    <t>AND25630004415</t>
  </si>
  <si>
    <t>MR.AL19-W-925(15YM)</t>
  </si>
  <si>
    <t>AND25630004416</t>
  </si>
  <si>
    <t>BABY.AL19-W-926(4YF)</t>
  </si>
  <si>
    <t>AND25630004430</t>
  </si>
  <si>
    <t xml:space="preserve"> CMC VELLORE WES+MGS</t>
  </si>
  <si>
    <t>MRS.AMRITA KUMARI(AN46270)(38YF)</t>
  </si>
  <si>
    <t>15-01-2026</t>
  </si>
  <si>
    <t>AND25630004431</t>
  </si>
  <si>
    <t>MR.GAUTAM DAS(9009404)(48YM)</t>
  </si>
  <si>
    <t>AND25630004432</t>
  </si>
  <si>
    <t>MR.UTHAYA KUMAR(AN47581)(58YM)</t>
  </si>
  <si>
    <t>AND25630004509</t>
  </si>
  <si>
    <t xml:space="preserve"> CMC VELLORE WES +MGS</t>
  </si>
  <si>
    <t>MR.AKASH KUMAR MAHATO (AN47032)(19YM)</t>
  </si>
  <si>
    <t>18-01-2026</t>
  </si>
  <si>
    <t>AND25630004480</t>
  </si>
  <si>
    <t xml:space="preserve"> CMC VELLORE WES </t>
  </si>
  <si>
    <t>MS.PRATIGYA (AN54738)(13YF)</t>
  </si>
  <si>
    <t>AND25630004526</t>
  </si>
  <si>
    <t xml:space="preserve">CMC VELLORE SAMPLE </t>
  </si>
  <si>
    <t>MR.AL20-W-931(43YM)</t>
  </si>
  <si>
    <t>21-01-2026</t>
  </si>
  <si>
    <t>AND25630004519</t>
  </si>
  <si>
    <t xml:space="preserve"> CMC VELLORE SAMPLE </t>
  </si>
  <si>
    <t>MRS.AL20-W-932(38YF)</t>
  </si>
  <si>
    <t>AND25630004521</t>
  </si>
  <si>
    <t>MR.AL20-W-947(16YM)</t>
  </si>
  <si>
    <t>AND25630004522</t>
  </si>
  <si>
    <t>MS.AL20-W-949(18YF)</t>
  </si>
  <si>
    <t>AND25630004520</t>
  </si>
  <si>
    <t>MR.AL20-W-946(19YM)</t>
  </si>
  <si>
    <t>20-01-2026</t>
  </si>
  <si>
    <t>AND25630004523</t>
  </si>
  <si>
    <t>MS.AL20-W-964(11YF)</t>
  </si>
  <si>
    <t>AND25630004524</t>
  </si>
  <si>
    <t>BABY.AL20-W-965(7YF)</t>
  </si>
  <si>
    <t>AND25630004525</t>
  </si>
  <si>
    <t>BABY.AL20-W-966(1YM)</t>
  </si>
  <si>
    <t>AND25630004513</t>
  </si>
  <si>
    <t>BABY.DHANSHIKA SRI S (AN56156) (1Y|F)</t>
  </si>
  <si>
    <t>AND25630004512</t>
  </si>
  <si>
    <t>MR.ABHIK MONDAL (AB97228 (37Y|M)</t>
  </si>
  <si>
    <t>AND25630004514</t>
  </si>
  <si>
    <t>MS.FETUS OF AMMU (AB91529) (22Y|F) CVS</t>
  </si>
  <si>
    <t>PB+CVS DNA</t>
  </si>
  <si>
    <t>NA</t>
  </si>
  <si>
    <t>AND25630004560</t>
  </si>
  <si>
    <t xml:space="preserve"> CMC VELLORE </t>
  </si>
  <si>
    <t>MR.AL21-W-972(33YM)</t>
  </si>
  <si>
    <t>23-01-2026</t>
  </si>
  <si>
    <t>AND25630004561</t>
  </si>
  <si>
    <t>BABY.AL21-W-980(2YF)</t>
  </si>
  <si>
    <t>AND25630004562</t>
  </si>
  <si>
    <t>MR.AL21-W-983(19YM)</t>
  </si>
  <si>
    <t>AND25630004563</t>
  </si>
  <si>
    <t>BABY.AL21-W-982(1YM)</t>
  </si>
  <si>
    <t>AND25630004564</t>
  </si>
  <si>
    <t>BABY.AL21-W-986(6YF)</t>
  </si>
  <si>
    <t>AND25630004558</t>
  </si>
  <si>
    <t>MR.VINAY KUMAR (AN42298)(40YM)</t>
  </si>
  <si>
    <t>24-01-2026</t>
  </si>
  <si>
    <t>AND25630004559</t>
  </si>
  <si>
    <t>MR.SHANKAR NAIK (AN23764)(34YM)</t>
  </si>
  <si>
    <t>AND25630004661</t>
  </si>
  <si>
    <t>MS.AL22-W-969(29YF)</t>
  </si>
  <si>
    <t>AND25630004662</t>
  </si>
  <si>
    <t>MS.AL22-W-993(28YF)</t>
  </si>
  <si>
    <t>AND25630004663</t>
  </si>
  <si>
    <t>MR.AL22-CD-26-11(35YM)</t>
  </si>
  <si>
    <t>AND25630004664</t>
  </si>
  <si>
    <t>MS.AL22-W-988(26YF)</t>
  </si>
  <si>
    <t>AND25630004817</t>
  </si>
  <si>
    <t>cmc vellore billed on 07-02-2026</t>
  </si>
  <si>
    <t>MR.AL23-X-02(17YM)</t>
  </si>
  <si>
    <t>31-01-2026</t>
  </si>
  <si>
    <t>AND25630004820</t>
  </si>
  <si>
    <t>MRS.AL23-X-07(27YF)</t>
  </si>
  <si>
    <t>AND25630004818</t>
  </si>
  <si>
    <t>MR.AL23-X-08(0YM)</t>
  </si>
  <si>
    <t>AND25630004819</t>
  </si>
  <si>
    <t>MR.AL23-X-09(12YM)</t>
  </si>
  <si>
    <t>AND25630004686</t>
  </si>
  <si>
    <t>cmc vellore wes</t>
  </si>
  <si>
    <t>MASTER.SAYED RAMEEZ (AZ53664)(5YM)</t>
  </si>
  <si>
    <t xml:space="preserve">PB </t>
  </si>
  <si>
    <t>S.NO</t>
  </si>
  <si>
    <t>TAT Raw date</t>
  </si>
  <si>
    <t>AND25630004768</t>
  </si>
  <si>
    <t>BABY.MIRACLIN (AK07932)(2YF)</t>
  </si>
  <si>
    <t>AND25630004782</t>
  </si>
  <si>
    <t>MRS.POOJAKUMARI (AN59384)(25YF)</t>
  </si>
  <si>
    <t>AND25630004769</t>
  </si>
  <si>
    <t>MS.MOKSHITHA T (AN28049)(9YF)</t>
  </si>
  <si>
    <t>AND25630004779</t>
  </si>
  <si>
    <t>MR.AL 24 - X - 17(30YM)</t>
  </si>
  <si>
    <t>AND25630004781</t>
  </si>
  <si>
    <t>MS.AL 24 - X - 19(35YF)</t>
  </si>
  <si>
    <t>AND25630004780</t>
  </si>
  <si>
    <t>BABY.AL 24 - X - 18 (3YM)</t>
  </si>
  <si>
    <t>AND25630004856</t>
  </si>
  <si>
    <t>MR.AL-25-X-37(31YM)</t>
  </si>
  <si>
    <t>AND25630004857</t>
  </si>
  <si>
    <t>MR.AL-25-X-38(10YM)</t>
  </si>
  <si>
    <t>AND25630004875</t>
  </si>
  <si>
    <t>MASTER.AL26 - X - 42(8YM)</t>
  </si>
  <si>
    <t>AND25630004876</t>
  </si>
  <si>
    <t>BABY.AL26 - X- 43(1YM)</t>
  </si>
  <si>
    <t>AND25630004877</t>
  </si>
  <si>
    <t>MR.AL26 - X - 46(36YM)</t>
  </si>
  <si>
    <t>NOT BILLED CMC VELLORE WES</t>
  </si>
  <si>
    <t>ABDUL TOSIL ANSARI  AN28621 (S/O HBD 126)</t>
  </si>
  <si>
    <t>WES 374A/25 (4Y/F)</t>
  </si>
  <si>
    <t>WES 366A/25 (10M/M)</t>
  </si>
  <si>
    <t>WES 364A/25 (3M/M)</t>
  </si>
  <si>
    <t xml:space="preserve">NOT BILLED CMC VELLORE WES..In tube it has marked Wes368A/25 but in form and also labelled in cryo has Wes386A/25 ..Consider  the blue label marking has wes386A/25 confirmed by srihari sir </t>
  </si>
  <si>
    <t>WES 386A/25 (3Y/F)</t>
  </si>
  <si>
    <t>WES 378A/25 (4Y/F)</t>
  </si>
  <si>
    <t>WES 13A/26 (4M/F)</t>
  </si>
  <si>
    <t>WES 360A/25 (1Y/M)</t>
  </si>
  <si>
    <t>WES 171A/25 (1Y/M)</t>
  </si>
  <si>
    <t>WES 264A/25 (5Y/F)</t>
  </si>
  <si>
    <t>WES 252A/25 (14Y/M)</t>
  </si>
  <si>
    <t>AND25630004921</t>
  </si>
  <si>
    <t>cmc billed on 12-02-2026</t>
  </si>
  <si>
    <t>BABY.FETUS OF VINOTHINI (883893H)(0YF) cvs</t>
  </si>
  <si>
    <t>AND25630004920</t>
  </si>
  <si>
    <t>MR.UPANANDA KUMAR (AN59847)(26YM)</t>
  </si>
  <si>
    <t>AL27-Y-03</t>
  </si>
  <si>
    <t>AL27-Y--13</t>
  </si>
  <si>
    <t>AL27-Y-16</t>
  </si>
  <si>
    <t xml:space="preserve"> AL27-X-49</t>
  </si>
  <si>
    <t>AL27-X-50</t>
  </si>
  <si>
    <t>AND25630004991</t>
  </si>
  <si>
    <t>CMC BILLED IN 14-02-2026</t>
  </si>
  <si>
    <t>MASTER.SONU KUMAR (AN78579)(12YM)</t>
  </si>
  <si>
    <t>14-02-2026</t>
  </si>
  <si>
    <t>AND25630004990</t>
  </si>
  <si>
    <t>MS.BRINDHA TARVA (AN22775)(0YF)</t>
  </si>
  <si>
    <t>AND25630005060</t>
  </si>
  <si>
    <t>NOT BILLED CMC VELLORE WES..mcc given on 19-2-2026..Mcc cleared..</t>
  </si>
  <si>
    <t>MRS.FETUS OF SUDHA P (8913814)(25YF)</t>
  </si>
  <si>
    <t>18-02-2026</t>
  </si>
  <si>
    <t>AND25630005124</t>
  </si>
  <si>
    <t>CMC VELLORE CES billed on 20-2-2026..</t>
  </si>
  <si>
    <t>MS.REWANG TAMANG (AN80292)(21YF)</t>
  </si>
  <si>
    <t>Clinical Exome Sequencing</t>
  </si>
  <si>
    <t>AND25630005039</t>
  </si>
  <si>
    <t xml:space="preserve"> BILLED on 18-02-2026  CMC VELLORE WES+MGS</t>
  </si>
  <si>
    <t>MRS.RACHAEL AMBAT (816350D)(36YF)</t>
  </si>
  <si>
    <t>AND25630005079</t>
  </si>
  <si>
    <t xml:space="preserve"> CMC VELLORE WES billed on 20-2-2026..</t>
  </si>
  <si>
    <t>MS.AL 28-Y-42(41YF)</t>
  </si>
  <si>
    <t>19-02-2026</t>
  </si>
  <si>
    <t>AND25630005080</t>
  </si>
  <si>
    <t>MASTER.AL 28-Y-40(5YM)</t>
  </si>
  <si>
    <t>AND25630005081</t>
  </si>
  <si>
    <t>MS.AL 28-Y-44(37YF)</t>
  </si>
  <si>
    <t>AND25630005082</t>
  </si>
  <si>
    <t>MS.AL 28-Y-22(28YF)</t>
  </si>
  <si>
    <t>AND25630005083</t>
  </si>
  <si>
    <t>BABY.AL 28-Y-35(2YM)</t>
  </si>
  <si>
    <t>AND25630005084</t>
  </si>
  <si>
    <t>MR.AL 28-Y-27(41YM)</t>
  </si>
  <si>
    <t>AND25630005085</t>
  </si>
  <si>
    <t>MR.AL 28-Y-37(19YM)</t>
  </si>
  <si>
    <t>AND25630005086</t>
  </si>
  <si>
    <t>MS.AL 28-Y-41(35YF)</t>
  </si>
  <si>
    <t>AND25630005087</t>
  </si>
  <si>
    <t>MS.AL 28-CD-26-23(19YF)</t>
  </si>
  <si>
    <t>AND25630005130</t>
  </si>
  <si>
    <t xml:space="preserve">cmc velllore </t>
  </si>
  <si>
    <t>MR.AL29-Y-51(47YM)</t>
  </si>
  <si>
    <t>21-02-2026</t>
  </si>
  <si>
    <t>AND25630005131</t>
  </si>
  <si>
    <t>MR.AL29-Y-56(19YM)</t>
  </si>
  <si>
    <t>AND25630005132</t>
  </si>
  <si>
    <t>MS.AL29-Y-58(9YF)</t>
  </si>
  <si>
    <t>AND25630005133</t>
  </si>
  <si>
    <t>MS.AL29-Y-59(20YF)</t>
  </si>
  <si>
    <t>AND25630005134</t>
  </si>
  <si>
    <t>MS.AL29-Y-52(13YF)</t>
  </si>
  <si>
    <t>AND25630005135</t>
  </si>
  <si>
    <t>BABY.AL29-Y-53(3YF)</t>
  </si>
  <si>
    <t>AND25630005136</t>
  </si>
  <si>
    <t>MRS.AL29-Y-63(31YF)</t>
  </si>
  <si>
    <t>AND25630005161</t>
  </si>
  <si>
    <t>cmc  vellore wes</t>
  </si>
  <si>
    <t>MS.AMALORPAVA JULIE P (AN84778)(37YF)</t>
  </si>
  <si>
    <t>AND25630005162</t>
  </si>
  <si>
    <t>MS.MEL-15940(27YF)</t>
  </si>
  <si>
    <t>AND25630005163</t>
  </si>
  <si>
    <t>MR.MEL-15991(40YM)</t>
  </si>
  <si>
    <t>AND25630005164</t>
  </si>
  <si>
    <t>MS.MEL-15585(37YF)</t>
  </si>
  <si>
    <t>AND25630005165</t>
  </si>
  <si>
    <t>MR.MEL-16028(25YM)</t>
  </si>
  <si>
    <t>AND25630005166</t>
  </si>
  <si>
    <t>MS.MEL-16011(25YF)</t>
  </si>
  <si>
    <t>AND25630005167</t>
  </si>
  <si>
    <t>MR.MEL-15994(30YM)</t>
  </si>
  <si>
    <t>AND25630005195</t>
  </si>
  <si>
    <t>billed on 24-02-2026</t>
  </si>
  <si>
    <t>MR.MEL-16042(22YM)</t>
  </si>
  <si>
    <t>AND25630005194</t>
  </si>
  <si>
    <t>MR.MEL-16047(16YM)</t>
  </si>
  <si>
    <t>ADK0000000163</t>
  </si>
  <si>
    <t xml:space="preserve">BILLED ON 04-03-2026 </t>
  </si>
  <si>
    <t>MR.RGS-402(47 Y 0 M 0 D /Male)</t>
  </si>
  <si>
    <t>24-02-2026</t>
  </si>
  <si>
    <t>ADK0000000164</t>
  </si>
  <si>
    <t>MS.RGS-403(37 Y 0 M 0 D /Female)</t>
  </si>
  <si>
    <t>ADK0000000165</t>
  </si>
  <si>
    <t>MR.RGS-404(19 Y 0 M 0 D /Male)</t>
  </si>
  <si>
    <t>ADK0000000166</t>
  </si>
  <si>
    <t>MR.RGS-405(36 Y 0 M 0 D /Male)</t>
  </si>
  <si>
    <t>ADK0000000167</t>
  </si>
  <si>
    <t>MS.RGS-406(15 Y 0 M 0 D /Female)</t>
  </si>
  <si>
    <t>ADK0000000168</t>
  </si>
  <si>
    <t>MS.RGS-407(39 Y 0 M 0 D /Female)</t>
  </si>
  <si>
    <t>ADK0000000169</t>
  </si>
  <si>
    <t>MS.RGS-408(28 Y 0 M 0 D /Female)</t>
  </si>
  <si>
    <t>ADK0000000170</t>
  </si>
  <si>
    <t>MR.RGS-409(20 Y 0 M 0 D /Male)</t>
  </si>
  <si>
    <t>ADK0000000171</t>
  </si>
  <si>
    <t>MS. RGS-410(22 Y 0 M 0 D /Female)</t>
  </si>
  <si>
    <t>ADK0000000172</t>
  </si>
  <si>
    <t>MR.RGS-411(42 Y 0 M 0 D /Male)</t>
  </si>
  <si>
    <t xml:space="preserve">	ADK0000000173</t>
  </si>
  <si>
    <t>MR.RGS-412(39 Y 0 M 0 D /Male)</t>
  </si>
  <si>
    <t>ADK0000000042</t>
  </si>
  <si>
    <t>CMC SAMPLE - TRF NOT RECEIVED IT WILL SENT WITHIN FEW DAYS MENTIONED IN REMAINING TRF .. TRF  RECEIVED ON 26-02-2026</t>
  </si>
  <si>
    <t>RGS-413 (55Y/M)</t>
  </si>
  <si>
    <t>ADK0000000043</t>
  </si>
  <si>
    <t>CMC SAMPLE - TRF NOT RECEIVED IT WILL SENT WITHIN FEW DAYS MENTIONED IN REMAINING TRF ..TRF  RECEIVED ON 26-02-2026</t>
  </si>
  <si>
    <t>RGS-414 (76Y/M)</t>
  </si>
  <si>
    <t>ADK0000000044</t>
  </si>
  <si>
    <t>RGS-415 (21Y/F)</t>
  </si>
  <si>
    <t>ADK0000000049</t>
  </si>
  <si>
    <t>AL30-Y-62 (4Y/F)</t>
  </si>
  <si>
    <t>26-02-2026</t>
  </si>
  <si>
    <t>ADK0000000048</t>
  </si>
  <si>
    <t>AL30-Y-68 (40Y/M)</t>
  </si>
  <si>
    <t>ADK0000000045</t>
  </si>
  <si>
    <t>AL-31-Y-79 (35Y/M)</t>
  </si>
  <si>
    <t>ADK0000000046</t>
  </si>
  <si>
    <t>AL-31-Y-80 (1Y/F)</t>
  </si>
  <si>
    <t>ADK0000000047</t>
  </si>
  <si>
    <t>AL-31-Y-81(15Y/M)</t>
  </si>
  <si>
    <t>ADK0000000085</t>
  </si>
  <si>
    <t xml:space="preserve">CMC VELLORE </t>
  </si>
  <si>
    <t>AL32-Y-84 (20Y/M)</t>
  </si>
  <si>
    <t>ADK0000000086</t>
  </si>
  <si>
    <t>AL32-Y-89(36Y/M)</t>
  </si>
  <si>
    <t>ADK0000000087</t>
  </si>
  <si>
    <t>AL32-CD-26-43(17Y/M)</t>
  </si>
  <si>
    <t>ADK0000000088</t>
  </si>
  <si>
    <t>AL32-Y-87(5Y/F)</t>
  </si>
  <si>
    <t>ADK0000000089</t>
  </si>
  <si>
    <t>AL32-Y-91(37Y/M)</t>
  </si>
  <si>
    <t>ADK0000000090</t>
  </si>
  <si>
    <t>AL32-CD-26-33(17Y/F)</t>
  </si>
  <si>
    <t>ADK0000000050</t>
  </si>
  <si>
    <t>DHIVYANSH BHUIYA</t>
  </si>
  <si>
    <t>BHUVANESHRI (25Y/F)</t>
  </si>
  <si>
    <t xml:space="preserve">WHOLE GENOME SEQUENCING </t>
  </si>
  <si>
    <t>SARAVANAN (30Y/M)</t>
  </si>
  <si>
    <t>s.no</t>
  </si>
  <si>
    <t>ADK0000000176</t>
  </si>
  <si>
    <t xml:space="preserve">AL33-Y-92 </t>
  </si>
  <si>
    <t>ADK0000000180</t>
  </si>
  <si>
    <t>AL33-Y-96</t>
  </si>
  <si>
    <t>BM-DNA</t>
  </si>
  <si>
    <t>ADK0000000179</t>
  </si>
  <si>
    <t>AL33-Y-97</t>
  </si>
  <si>
    <t>ADK0000000177</t>
  </si>
  <si>
    <t>AL33-Y-99</t>
  </si>
  <si>
    <t>ADK0000000178</t>
  </si>
  <si>
    <t>AL33-Y-103</t>
  </si>
  <si>
    <t>NOT BILLED CMC VELLORE</t>
  </si>
  <si>
    <t>DBA  3/26</t>
  </si>
  <si>
    <t>Dr. Shaji</t>
  </si>
  <si>
    <t>DBA  4/26</t>
  </si>
  <si>
    <t>DBA  5/26</t>
  </si>
  <si>
    <t>DBA  6/26</t>
  </si>
  <si>
    <t>DBA  7/26</t>
  </si>
  <si>
    <t>DBA  8/26</t>
  </si>
  <si>
    <t>DBA  9/26</t>
  </si>
  <si>
    <t>DBA 10/26</t>
  </si>
  <si>
    <t>ADK0000000220</t>
  </si>
  <si>
    <t>cmc vellore billed on 06-03-2026</t>
  </si>
  <si>
    <t>BABY.KAVYA KUMARI (AN69260)(0Y/F)</t>
  </si>
  <si>
    <t>ADK0000000221</t>
  </si>
  <si>
    <t>MR.PICHANDI (449456B)(69Y/M)</t>
  </si>
  <si>
    <t xml:space="preserve">ADK0000000225
</t>
  </si>
  <si>
    <t>MS.FETUS OF AKSHAYA (AJ13962)(27Y/F) CVS</t>
  </si>
  <si>
    <t>ADK0000000219</t>
  </si>
  <si>
    <t>MR.ARJUN C M (AN84122)(22Y/M)</t>
  </si>
  <si>
    <t>ADK0000000222</t>
  </si>
  <si>
    <t>MR.RITIK R PAYAK (319720C)(24Y/M)</t>
  </si>
  <si>
    <t>ADK0000000223</t>
  </si>
  <si>
    <t>BABY.SEETHA G S BABY (AL26922)(0Y/F)</t>
  </si>
  <si>
    <t xml:space="preserve">ADK0000000224
</t>
  </si>
  <si>
    <t>MR.MUANTHANGA PACHUAU (909204B)(84y/M)</t>
  </si>
  <si>
    <t>ADK0000000214</t>
  </si>
  <si>
    <t>MS.AL34-Y-104(24Y/F)</t>
  </si>
  <si>
    <t xml:space="preserve">	ADK0000000217</t>
  </si>
  <si>
    <t>MS.AL34-Y-108(19Y/F)</t>
  </si>
  <si>
    <t>ADK0000000218</t>
  </si>
  <si>
    <t>MS.AL34-Y-109(41Y/F)</t>
  </si>
  <si>
    <t>ADK0000000215</t>
  </si>
  <si>
    <t>MR.AL34-Y-114(34Y/M)</t>
  </si>
  <si>
    <t>ADK0000000216</t>
  </si>
  <si>
    <t>MR.AL34-Y-115(48Y/M)</t>
  </si>
  <si>
    <t>ADK0000000307</t>
  </si>
  <si>
    <t>MR.ANDREWS G (521684D)(38Y/M)</t>
  </si>
  <si>
    <t xml:space="preserve">ADK0000000332
</t>
  </si>
  <si>
    <t xml:space="preserve"> CMC VELLORE BILLED ON 11-03-2026</t>
  </si>
  <si>
    <t>MR.AL35-CD-26-48(49Y/M)</t>
  </si>
  <si>
    <t xml:space="preserve">ADK0000000333
</t>
  </si>
  <si>
    <t>MS.AL35-CD-26-49(36Y/F)</t>
  </si>
  <si>
    <t xml:space="preserve">ADK0000000334
</t>
  </si>
  <si>
    <t>MS.AL35-Y-126(13Y/F)</t>
  </si>
  <si>
    <t xml:space="preserve">ADK0000000335
</t>
  </si>
  <si>
    <t>BABY.AL35-Y-122(1Y/M)</t>
  </si>
  <si>
    <t xml:space="preserve">ADK0000000336
</t>
  </si>
  <si>
    <t>MR.AL35-Y-129(14Y/M)</t>
  </si>
  <si>
    <t xml:space="preserve">ADK0000000337
</t>
  </si>
  <si>
    <t>MS. AL35-Y-130(16Y/F)</t>
  </si>
  <si>
    <t>ADK0000000338</t>
  </si>
  <si>
    <t>MASTER.AL35-Y-121(6Y/F)</t>
  </si>
  <si>
    <t>ADK0000000339</t>
  </si>
  <si>
    <t>MS.AL35-Y-131(37Y/F)</t>
  </si>
  <si>
    <t xml:space="preserve">ADK0000000331
</t>
  </si>
  <si>
    <t>MR.HBD159(0y/M)</t>
  </si>
  <si>
    <t>CHRISTIAN MEDICAL COLLEGE - HAEMOTOLOGY ( RESEARCH)</t>
  </si>
  <si>
    <t>ADK0000000354</t>
  </si>
  <si>
    <t>billed on 12-03-2026- CMC VELLORE ..mcc cleared</t>
  </si>
  <si>
    <t>MS.FETUS OF SHALINI M (AI64156) (25y/F) cvs</t>
  </si>
  <si>
    <t>WHOLE EXOME SEQUENCING (REPRODUCTIVE GENOMICS)</t>
  </si>
  <si>
    <t>PB + CVS</t>
  </si>
  <si>
    <t>ADK0000000355</t>
  </si>
  <si>
    <t>MS.FETUS OF POORNIMA (30/F) cvs</t>
  </si>
  <si>
    <t>ADK0000000435</t>
  </si>
  <si>
    <t>cmc vellore billed on 16-03-2026</t>
  </si>
  <si>
    <t>BABY.MEL-15976(3 Y 0 M 0 D /Male)</t>
  </si>
  <si>
    <t>GENOMIC DNA</t>
  </si>
  <si>
    <t>14-03-2026</t>
  </si>
  <si>
    <t>ADK0000000433</t>
  </si>
  <si>
    <t>MEL-16114 (30Y/F)</t>
  </si>
  <si>
    <t xml:space="preserve">	ADK0000000436</t>
  </si>
  <si>
    <t>MR.MEL-16103(31 Y 0 M 0 D /Male)</t>
  </si>
  <si>
    <t xml:space="preserve">	ADK0000000434</t>
  </si>
  <si>
    <t>MR.MEL-16112(32 Y 0 M 0 D /Male)</t>
  </si>
  <si>
    <t>ADK0000000493</t>
  </si>
  <si>
    <t>CMC VELLORE BILLED ON 17-03-2026</t>
  </si>
  <si>
    <t>MS.MEL-16139(33 Y 0 M 0 D /Female)</t>
  </si>
  <si>
    <t>ADK0000000449</t>
  </si>
  <si>
    <t>BILLED ON 16-03-2026- CMC VELLORE dob -age 19 yrs /f</t>
  </si>
  <si>
    <t>MS. BARSHA MAJI (AP03174)(18 Y 9 M 10 D /Female)</t>
  </si>
  <si>
    <t xml:space="preserve">	ADK0000000450</t>
  </si>
  <si>
    <t>BILLED ON 16-03-2026-- CMC VELLORE dob age-2yrs/f</t>
  </si>
  <si>
    <t>BABY.SASHA PRASANTH (AN98602)(1 Y 6 M 19 D /Female)</t>
  </si>
  <si>
    <t>BABY.RONALDO (AL03876)(2 Y 7 M 20 D /Male)</t>
  </si>
  <si>
    <t xml:space="preserve">cmc vellore </t>
  </si>
  <si>
    <t>BABY.KRIDAY HEMBRAM (AP01098)(0 Y 7 M 20 D /Male)</t>
  </si>
  <si>
    <t>15-03-2026</t>
  </si>
  <si>
    <t xml:space="preserve">ADK0000000500
</t>
  </si>
  <si>
    <t xml:space="preserve"> CMC VELLORE NEED GENDER CONFIRMATION BILLED HAS MALE BUT IN FORM IT HAS MENTIONED FEMALE </t>
  </si>
  <si>
    <t>AL-36-Y-156 (26Y/F)</t>
  </si>
  <si>
    <t>18-03-2026</t>
  </si>
  <si>
    <t xml:space="preserve">ADK0000000501
</t>
  </si>
  <si>
    <t>MR.AL-36-Y-148(22Y/M)</t>
  </si>
  <si>
    <t xml:space="preserve">ADK0000000502
</t>
  </si>
  <si>
    <t>MR.AL-36-Y-145(0Y/M)</t>
  </si>
  <si>
    <t xml:space="preserve">ADK0000000503
</t>
  </si>
  <si>
    <t>MR.AL-36-Y-140(61Y/M)</t>
  </si>
  <si>
    <t xml:space="preserve">ADK0000000504
</t>
  </si>
  <si>
    <t>MR.AL-36-Y-134(52Y/M)</t>
  </si>
  <si>
    <t xml:space="preserve">ADK0000000505
</t>
  </si>
  <si>
    <t>MS.AL-36-Y-153(24Y/F)</t>
  </si>
  <si>
    <t xml:space="preserve">ADK0000000506
</t>
  </si>
  <si>
    <t>MS.AL-36-CD-26-50(27Y/F)</t>
  </si>
  <si>
    <t>ADK0000000507</t>
  </si>
  <si>
    <t>MS.AL-36-CD-26-52(30Y/F)</t>
  </si>
  <si>
    <t>ADK0000000508</t>
  </si>
  <si>
    <t>BABY.AL-36-Y-160(4Y/M)</t>
  </si>
  <si>
    <t>ADK0000000509</t>
  </si>
  <si>
    <t>MR.AL-36-Y-162(37Y/M)</t>
  </si>
  <si>
    <t>ADK0000000510</t>
  </si>
  <si>
    <t>MASTER.AL-36-Y-164(13Y/M)</t>
  </si>
  <si>
    <t>ADK0000000511</t>
  </si>
  <si>
    <t>BABY.AL-36-Y-168(3Y/F)</t>
  </si>
  <si>
    <t>ADK0000000512</t>
  </si>
  <si>
    <t>MR.HBD165(0Y/M)</t>
  </si>
  <si>
    <t xml:space="preserve">ADK0000000562
</t>
  </si>
  <si>
    <t>AL37-Y-169 (2Y/M)</t>
  </si>
  <si>
    <t>20-03-2026</t>
  </si>
  <si>
    <t xml:space="preserve">ADK0000000555
</t>
  </si>
  <si>
    <t>AL37-Y-171 (23Y/F)</t>
  </si>
  <si>
    <t xml:space="preserve">ADK0000000553
</t>
  </si>
  <si>
    <t>BABY.AL37-Y-173(3Y/M)</t>
  </si>
  <si>
    <t xml:space="preserve">ADK0000000554
</t>
  </si>
  <si>
    <t>MS.AL37-Y-177(17Y/f)</t>
  </si>
  <si>
    <t xml:space="preserve">ADK0000000560
</t>
  </si>
  <si>
    <t>BABY.AL37-Y-180(3Y/f)</t>
  </si>
  <si>
    <t xml:space="preserve">ADK0000000561
</t>
  </si>
  <si>
    <t>MASTER.AL37-Y-181(8y/F)</t>
  </si>
  <si>
    <t xml:space="preserve">ADK0000000556
</t>
  </si>
  <si>
    <t>MS.AL37-CD-26-53(33Y/f)</t>
  </si>
  <si>
    <t xml:space="preserve">ADK0000000557
</t>
  </si>
  <si>
    <t xml:space="preserve">CMC VELLORE - AGE IS NOT MENTIONED </t>
  </si>
  <si>
    <t>MR.AL37-CD-26-54(0Y/M)</t>
  </si>
  <si>
    <t xml:space="preserve">ADK0000000559
</t>
  </si>
  <si>
    <t>MR.AL37-CD-26-60(0Y/M)</t>
  </si>
  <si>
    <t xml:space="preserve">ADK0000000558
</t>
  </si>
  <si>
    <t>MR.AL37-CD-26-61(55Y/M)</t>
  </si>
  <si>
    <t>ADK0000000565</t>
  </si>
  <si>
    <t>CMC VELLORE</t>
  </si>
  <si>
    <t>MR.VIVEK KUMAR DAS (AN61713)(22Y/M)</t>
  </si>
  <si>
    <t>ADK0000000566</t>
  </si>
  <si>
    <t xml:space="preserve">CMC VELLORE - GENDER billed has male </t>
  </si>
  <si>
    <t>MR.AARIT JHAJHARIA (AN98281)(16Y/M)</t>
  </si>
  <si>
    <t>ADK0000000580</t>
  </si>
  <si>
    <t>CMC VELLORE BLOOD RECEIVED ON 14-03-2026 BUT IN TRF IT HAS MARKED FOR MLPA /CMA ..</t>
  </si>
  <si>
    <t>MR.PRANISH (9759714)(0 Y 0 M 0 D /Male)</t>
  </si>
  <si>
    <t>GENETICS - PROCESSING LAB - CHENNAI</t>
  </si>
  <si>
    <t>ADK0000000667</t>
  </si>
  <si>
    <t>BABY.AL38-Y-183(1Y/M)</t>
  </si>
  <si>
    <t>25-03-2026</t>
  </si>
  <si>
    <t>ADK0000000668</t>
  </si>
  <si>
    <t>MISS.AL38-Y-199(11Y/F)</t>
  </si>
  <si>
    <t>ADK0000000669</t>
  </si>
  <si>
    <t>MRS.AL38-Y-201(42Y/F)</t>
  </si>
  <si>
    <t>ADK0000000670</t>
  </si>
  <si>
    <t>BABY.AL38-Y-204(1Y/M)</t>
  </si>
  <si>
    <t>ADK0000000672</t>
  </si>
  <si>
    <t>MR.AL38-CD-26-64(33Y/M)</t>
  </si>
  <si>
    <t>ADK0000000752</t>
  </si>
  <si>
    <t xml:space="preserve"> CMC VELLORE -billed on 28-03-2026</t>
  </si>
  <si>
    <t>MS.LATHA (AN97693)(22Y/F)</t>
  </si>
  <si>
    <t>ADK0000000751</t>
  </si>
  <si>
    <t>CMC VELLORE -billed on 28-03-2026</t>
  </si>
  <si>
    <t>BABY.HEMAMALINI PS BABY (AL20226)(1Y/F)</t>
  </si>
  <si>
    <t>pending</t>
  </si>
  <si>
    <t>ADK0000000750</t>
  </si>
  <si>
    <t>CMC VELLORE .. billed on 28-03-2026</t>
  </si>
  <si>
    <t>MASTER.SHUVODEEP DAS (AF94687)(6Y/M)</t>
  </si>
  <si>
    <t>ADK0000000797</t>
  </si>
  <si>
    <t>CMC SAMPLE</t>
  </si>
  <si>
    <t>MR.AL39-Y-207(25y/m)</t>
  </si>
  <si>
    <t>31-03-2026</t>
  </si>
  <si>
    <t>ADK0000000798</t>
  </si>
  <si>
    <t>MR.AL39-Y-222(50Y/M)</t>
  </si>
  <si>
    <t xml:space="preserve">ADK0000000865
</t>
  </si>
  <si>
    <t>CMC VELLORE - (TRF R/O TODAY)</t>
  </si>
  <si>
    <t>MR.SUVANKAR DAS (AP20587)(38Y/M)</t>
  </si>
  <si>
    <t>ongoing</t>
  </si>
  <si>
    <t xml:space="preserve">ADK0000000864
</t>
  </si>
  <si>
    <t>MR.JEASMIN AKTER (0070204)(33y/m)</t>
  </si>
  <si>
    <t xml:space="preserve">ADK0000000866
</t>
  </si>
  <si>
    <t>MR.RAGHIB HASAN AVI (417572P)(34Y/M)</t>
  </si>
  <si>
    <t xml:space="preserve">ADK0000000867
</t>
  </si>
  <si>
    <t>BABY.JAISHVA (AL04074)(2Y/M)</t>
  </si>
  <si>
    <t xml:space="preserve">ADK0000000898
</t>
  </si>
  <si>
    <t>CMC VELLORE - BILLED ON 04-04-2026</t>
  </si>
  <si>
    <t>MS.RAMYA D (AP24632)(26Y/F)</t>
  </si>
  <si>
    <t xml:space="preserve">ADK0000000895
</t>
  </si>
  <si>
    <t>MR.THENPANDIAN MANI (AG74771)(31Y/M)</t>
  </si>
  <si>
    <t xml:space="preserve">ADK0000000897
</t>
  </si>
  <si>
    <t xml:space="preserve">CMC VELLORE - BILLED ON 04-04-2026.. IN TRF DOB NOT MENTIONEDAND EDTA AGE NOT MENTIONED .. BILLED HAS 0YRS.. this age has 9yrs by confirmed by gaythri mam on 07-04-2026.. billing has edited  </t>
  </si>
  <si>
    <t>MR.ANKIT SATPATI (AP30751)(9Y/M)</t>
  </si>
  <si>
    <t>ADK0000001005</t>
  </si>
  <si>
    <t>MR.NARESH (312031C) (50 Y 8 M 20 D /Male)</t>
  </si>
  <si>
    <t xml:space="preserve">ADK0000001037
</t>
  </si>
  <si>
    <t>BILLED ON 09-04-2026 CMC VELLORE WES</t>
  </si>
  <si>
    <t>MR.AA1339(36Y/M)</t>
  </si>
  <si>
    <t xml:space="preserve">ADK0000001039
</t>
  </si>
  <si>
    <t>MS.AA1699(38Y/F)</t>
  </si>
  <si>
    <t xml:space="preserve">ADK0000001038
</t>
  </si>
  <si>
    <t>MS.AA1581(37Y/F)</t>
  </si>
  <si>
    <t>ADK0000001040</t>
  </si>
  <si>
    <t>MS.AA952(21Y/F)</t>
  </si>
  <si>
    <t xml:space="preserve">ADK0000001013
</t>
  </si>
  <si>
    <t>MR.AL 40-Y-243(42Y/M)</t>
  </si>
  <si>
    <t xml:space="preserve">ADK0000001014
</t>
  </si>
  <si>
    <t>MS.AL40-Y-238(71Y/F)</t>
  </si>
  <si>
    <t>ADK0000001015</t>
  </si>
  <si>
    <t>MR.AL40-Y-233(17Y/M)</t>
  </si>
  <si>
    <t>ADK0000001017</t>
  </si>
  <si>
    <t>MS.AL40-Y-232(47Y/F)</t>
  </si>
  <si>
    <t>ADK0000001018</t>
  </si>
  <si>
    <t>MASTER.AL40-Y-248(10Y/M)</t>
  </si>
  <si>
    <t>ADK0000001020</t>
  </si>
  <si>
    <t>MS.AL40-Y-254(31Y/F)</t>
  </si>
  <si>
    <t>ADK0000001021</t>
  </si>
  <si>
    <t>MS.AL40-Y-239(37Y/F)</t>
  </si>
  <si>
    <t>ADK0000001022</t>
  </si>
  <si>
    <t>MS.AL40-CD-26-70(15Y/F)</t>
  </si>
  <si>
    <t>ADK0000001023</t>
  </si>
  <si>
    <t>MR.AL40-CD-26-71(45Y/M)</t>
  </si>
  <si>
    <t xml:space="preserve">ADK0000001067
</t>
  </si>
  <si>
    <t>BABY.LAKSHAN KARTHICK (AL12127) (1Y/M)</t>
  </si>
  <si>
    <t xml:space="preserve">ADK0000001069
</t>
  </si>
  <si>
    <t>MR.MARUTHANAYAGAM (AP26826) (30Y/M)</t>
  </si>
  <si>
    <t xml:space="preserve">ADK0000001071
</t>
  </si>
  <si>
    <t>BABY.SAIKALA K S BABY (AL34155)(0Y/F)</t>
  </si>
  <si>
    <t>ADK0000001068</t>
  </si>
  <si>
    <t>MR.ADARSH RAJ (AN19534) (4Y/M)</t>
  </si>
  <si>
    <t xml:space="preserve">ADK0000001070
</t>
  </si>
  <si>
    <t xml:space="preserve">CMC VELLORE - SISTER OF HARIKUMAR </t>
  </si>
  <si>
    <t>MS.VARSHINI M(AN09495) (26Y/F)</t>
  </si>
  <si>
    <t xml:space="preserve">ADK0000001072
</t>
  </si>
  <si>
    <t>BABY.RAJA S BABY (AL90188)(1Y/M)</t>
  </si>
  <si>
    <t>ADK0000001124</t>
  </si>
  <si>
    <t>SAMPLE NO: 18 IN TUBE</t>
  </si>
  <si>
    <t>MR.MEL-15446(42Y/M)</t>
  </si>
  <si>
    <t>ADK0000001125</t>
  </si>
  <si>
    <t>SAMPLE NO: 1 IN TUBE</t>
  </si>
  <si>
    <t>MS.MEL-15805(29Y/F)</t>
  </si>
  <si>
    <t>ADK0000001126</t>
  </si>
  <si>
    <t>SAMPLE NO: 3 IN TUBE</t>
  </si>
  <si>
    <t>MS.MEL-15866(14Y/F)</t>
  </si>
  <si>
    <t>ADK0000001127</t>
  </si>
  <si>
    <t>SAMPLE NO: 4 IN TUBE</t>
  </si>
  <si>
    <t>MR.MEL-15893(12Y/M)</t>
  </si>
  <si>
    <t>ADK0000001128</t>
  </si>
  <si>
    <t>SAMPLE NO: 5 IN TUBE</t>
  </si>
  <si>
    <t>MS.MEL-16018(0Y/F)</t>
  </si>
  <si>
    <t>ADK0000001129</t>
  </si>
  <si>
    <t>SAMPLE NO: 6 IN TUBE</t>
  </si>
  <si>
    <t>MS.MEL-16022(11Y/F)</t>
  </si>
  <si>
    <t>ADK0000001130</t>
  </si>
  <si>
    <t>SAMPLE NO: 7 IN TUBE</t>
  </si>
  <si>
    <t>MS.MEL-16077(13Y/F)</t>
  </si>
  <si>
    <t>ADK0000001133</t>
  </si>
  <si>
    <t>SAMPLE NO:  12 IN TUBE</t>
  </si>
  <si>
    <t>MR.MEL-16198(30Y/M)</t>
  </si>
  <si>
    <t>ADK0000001134</t>
  </si>
  <si>
    <t>SAMPLE NO:  13 IN TUBE</t>
  </si>
  <si>
    <t>MR.MEL-16201(23Y/M)</t>
  </si>
  <si>
    <t>ADK0000001135</t>
  </si>
  <si>
    <t>SAMPLE NO:  14 IN TUBE</t>
  </si>
  <si>
    <t>MR.MEL-16204(23Y/M)</t>
  </si>
  <si>
    <t>ADK0000001136</t>
  </si>
  <si>
    <t>SAMPLE NO:  16 IN TUBE</t>
  </si>
  <si>
    <t>MR.MEL-16238(31Y/M)</t>
  </si>
  <si>
    <t>ADK0000001137</t>
  </si>
  <si>
    <t>SAMPLE NO:  17 IN TUBE</t>
  </si>
  <si>
    <t>MR.MEL-16240(25Y/M)</t>
  </si>
  <si>
    <t>ADK0000001138</t>
  </si>
  <si>
    <t>SAMPLE NO:  19 IN TUBE</t>
  </si>
  <si>
    <t>MR.MEL-16242(27Y/M)</t>
  </si>
  <si>
    <t>ADK0000001139</t>
  </si>
  <si>
    <t>SAMPLE NO:  20 IN TUBE</t>
  </si>
  <si>
    <t>MR.MEL-16244(31Y/M)</t>
  </si>
  <si>
    <t>ADK0000001140</t>
  </si>
  <si>
    <t>SAMPLE NO:  21 IN TUBE</t>
  </si>
  <si>
    <t>MS.MEL-16275(32Y/F)</t>
  </si>
  <si>
    <t>ADK0000001141</t>
  </si>
  <si>
    <t>SAMPLE NO:  22 IN TUBE</t>
  </si>
  <si>
    <t>MS.MEL-16281(35Y/F)</t>
  </si>
  <si>
    <t>ADK0000001142</t>
  </si>
  <si>
    <t>MS.MEL-16293(17Y/F)</t>
  </si>
  <si>
    <t>ADK0000001169</t>
  </si>
  <si>
    <t>2 TRF RECEIVED WITH TWO DIFFERENT AGE  CMC VELLORE- SAMPLE NO:  10 IN TUBE</t>
  </si>
  <si>
    <t>MR.MEL- 16170 (34 Y 0 M 0 D/M)</t>
  </si>
  <si>
    <t xml:space="preserve">NOT BILLED- CMC VELLORE NO TRF RECEIVED -SAMPLE NO: 2 IN TUBE </t>
  </si>
  <si>
    <t xml:space="preserve">MEL 15812 </t>
  </si>
  <si>
    <t xml:space="preserve">NOT BILLED- CMC VELLORE NO TRF RECEIVED -SAMPLE NO: 9 IN TUBE </t>
  </si>
  <si>
    <t xml:space="preserve">MEL 11911 </t>
  </si>
  <si>
    <t xml:space="preserve">NOT BILLED- CMC VELLORE NO  TRF RECEIVED -SAMPLE NO: 11 IN TUBE </t>
  </si>
  <si>
    <t>MEL 16192</t>
  </si>
  <si>
    <t xml:space="preserve">ADK0000001149
</t>
  </si>
  <si>
    <t xml:space="preserve"> CMC VELLORE TRF RECEIVED  billed on 13-4-26..-SAMPLE NO: 15 IN TUBE </t>
  </si>
  <si>
    <t>MS.MEL-16210 (45Y/F)</t>
  </si>
  <si>
    <t>ADK0000001171</t>
  </si>
  <si>
    <t>MS.AL41-CD-26-72 (27 Y 0 M 0 D /F)</t>
  </si>
  <si>
    <t>14-04-2026</t>
  </si>
  <si>
    <t>ADK0000001172</t>
  </si>
  <si>
    <t>BABY.AL41-CD-26-73 (10Y/F)</t>
  </si>
  <si>
    <t>ADK0000001173</t>
  </si>
  <si>
    <t>MS.AL41-Y-271 (17Y/F)</t>
  </si>
  <si>
    <t>ADK0000001174</t>
  </si>
  <si>
    <t>MASTER.AL41-Y-275 (7 Y 0 M 0 D /M)</t>
  </si>
  <si>
    <t>ADK0000001175</t>
  </si>
  <si>
    <t>MS.AL41-Y-274 (14 Y 0 M 0 D /F)</t>
  </si>
  <si>
    <t xml:space="preserve">ADK0000001277
</t>
  </si>
  <si>
    <t xml:space="preserve"> CMC VELLORE WES billed on 17-04-2026</t>
  </si>
  <si>
    <t>MR.NOURE JANNAT BINTE SHAKIL(AN27646)(0y/m)</t>
  </si>
  <si>
    <t>15-04-2026</t>
  </si>
  <si>
    <t>ADK0000001279</t>
  </si>
  <si>
    <t>MS.RGS-416(23y/f)</t>
  </si>
  <si>
    <t>16-04-2026</t>
  </si>
  <si>
    <t>ADK0000001280</t>
  </si>
  <si>
    <t>MS.RGS-417(24y/f)</t>
  </si>
  <si>
    <t>ADK0000001281</t>
  </si>
  <si>
    <t>MS.RGS-418(20y/f)</t>
  </si>
  <si>
    <t>ADK0000001282</t>
  </si>
  <si>
    <t>MR.RGS-419(46y/m)</t>
  </si>
  <si>
    <t>ADK0000001283</t>
  </si>
  <si>
    <t>MR.RGS-420(26y/m)</t>
  </si>
  <si>
    <t>ADK0000001284</t>
  </si>
  <si>
    <t>MR.RGS-421(40y/m)</t>
  </si>
  <si>
    <t>ADK0000001285</t>
  </si>
  <si>
    <t>MS.RGS-422(71y/f)</t>
  </si>
  <si>
    <t>ADK0000001286</t>
  </si>
  <si>
    <t>MR.RGS-423(46y/m)</t>
  </si>
  <si>
    <t>ADK0000001287</t>
  </si>
  <si>
    <t>MS.RGS-424(17y/f)</t>
  </si>
  <si>
    <t>ADK0000001288</t>
  </si>
  <si>
    <t>MS.RGS-425(53y/f)</t>
  </si>
  <si>
    <t>ADK0000001289</t>
  </si>
  <si>
    <t>MR.RGS-426(29y/f)</t>
  </si>
  <si>
    <t>ADK0000001290</t>
  </si>
  <si>
    <t>MR.RGS-427(26y/m)</t>
  </si>
  <si>
    <t>ADK0000001291</t>
  </si>
  <si>
    <t>MR.RGS-428(30y/m)</t>
  </si>
  <si>
    <t>ADK0000001292</t>
  </si>
  <si>
    <t>MR.RGS-429(71y/m)</t>
  </si>
  <si>
    <t>ADK0000001293</t>
  </si>
  <si>
    <t>MR.RGS-430(29y/m)</t>
  </si>
  <si>
    <t>ADK0000001294</t>
  </si>
  <si>
    <t>MR.RGS-431(17y/m)</t>
  </si>
  <si>
    <t>ADK0000001295</t>
  </si>
  <si>
    <t>MS.RGS-432(19y/f)</t>
  </si>
  <si>
    <t>ADK0000001296</t>
  </si>
  <si>
    <t>MS.RGS-359A(53y/f)</t>
  </si>
  <si>
    <t>ADK0000001297</t>
  </si>
  <si>
    <t>MS.RGS-359B(21y/f)</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</si>
</sst>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m/yyyy"/>
    <numFmt numFmtId="165" formatCode="dd/mm/yyyy"/>
    <numFmt numFmtId="166" formatCode="mm/dd/yyyy"/>
    <numFmt numFmtId="167" formatCode="dd/MM/yyyy"/>
    <numFmt numFmtId="168" formatCode="M/d/yyyy"/>
    <numFmt numFmtId="169" formatCode="d-m-yyyy"/>
    <numFmt numFmtId="170" formatCode="dd-mm-yyyy"/>
    <numFmt numFmtId="171" formatCode="m-d-yyyy"/>
    <numFmt numFmtId="172" formatCode="mm-dd-yyyy"/>
  </numFmts>
  <fonts count="42">
    <font>
      <sz val="10.0"/>
      <color rgb="FF000000"/>
      <name val="Arial"/>
      <scheme val="minor"/>
    </font>
    <font>
      <b/>
      <sz val="14.0"/>
      <color theme="1"/>
      <name val="Aptos Narrow"/>
    </font>
    <font>
      <b/>
      <sz val="14.0"/>
      <color theme="1"/>
      <name val="Arial"/>
    </font>
    <font>
      <b/>
      <sz val="14.0"/>
      <color theme="1"/>
      <name val="Arial"/>
      <scheme val="minor"/>
    </font>
    <font>
      <sz val="14.0"/>
      <color theme="1"/>
      <name val="Arial"/>
      <scheme val="minor"/>
    </font>
    <font>
      <sz val="12.0"/>
      <color theme="1"/>
      <name val="Aptos Narrow"/>
    </font>
    <font>
      <color theme="1"/>
      <name val="Arial"/>
    </font>
    <font>
      <sz val="12.0"/>
      <color theme="1"/>
      <name val="Arial"/>
    </font>
    <font>
      <u/>
      <sz val="12.0"/>
      <color rgb="FF1155CC"/>
      <name val="Arial"/>
    </font>
    <font>
      <sz val="12.0"/>
      <color theme="1"/>
      <name val="Arial"/>
      <scheme val="minor"/>
    </font>
    <font>
      <sz val="12.0"/>
      <color rgb="FF202020"/>
      <name val="Arial"/>
    </font>
    <font>
      <b/>
      <sz val="13.0"/>
      <color theme="1"/>
      <name val="Arial"/>
      <scheme val="minor"/>
    </font>
    <font>
      <color theme="1"/>
      <name val="Arial"/>
      <scheme val="minor"/>
    </font>
    <font>
      <u/>
      <color rgb="FF1155CC"/>
      <name val="Arial"/>
    </font>
    <font>
      <sz val="11.0"/>
      <color theme="1"/>
      <name val="Calibri"/>
    </font>
    <font>
      <b/>
      <color rgb="FF202020"/>
      <name val="Roboto"/>
    </font>
    <font>
      <b/>
      <sz val="11.0"/>
      <color theme="1"/>
      <name val="Arial"/>
    </font>
    <font>
      <b/>
      <sz val="11.0"/>
      <color theme="1"/>
      <name val="Calibri"/>
    </font>
    <font>
      <b/>
      <sz val="11.0"/>
      <color theme="1"/>
      <name val="Aptos Narrow"/>
    </font>
    <font>
      <color rgb="FF202020"/>
      <name val="Arial"/>
    </font>
    <font>
      <sz val="11.0"/>
      <color theme="1"/>
      <name val="Aptos Narrow"/>
    </font>
    <font>
      <color rgb="FF000000"/>
      <name val="Arial"/>
    </font>
    <font>
      <sz val="11.0"/>
      <color theme="1"/>
      <name val="Helvetica"/>
    </font>
    <font>
      <sz val="11.0"/>
      <color theme="1"/>
      <name val="Arial"/>
    </font>
    <font>
      <b/>
      <color theme="1"/>
      <name val="Arial"/>
    </font>
    <font>
      <color rgb="FF202020"/>
      <name val="Roboto"/>
    </font>
    <font/>
    <font>
      <b/>
      <sz val="11.0"/>
      <color rgb="FF202020"/>
      <name val="Roboto"/>
    </font>
    <font>
      <sz val="11.0"/>
      <color theme="1"/>
      <name val="Times New Roman"/>
    </font>
    <font>
      <sz val="12.0"/>
      <color theme="1"/>
      <name val="Times New Roman"/>
    </font>
    <font>
      <sz val="11.0"/>
      <color rgb="FF000000"/>
      <name val="Arial"/>
    </font>
    <font>
      <sz val="12.0"/>
      <color rgb="FF202020"/>
      <name val="Times New Roman"/>
    </font>
    <font>
      <b/>
      <sz val="15.0"/>
      <color theme="1"/>
      <name val="Arial"/>
      <scheme val="minor"/>
    </font>
    <font>
      <b/>
      <sz val="11.0"/>
      <color theme="1"/>
      <name val="Verdana"/>
    </font>
    <font>
      <sz val="9.0"/>
      <color theme="1"/>
      <name val="Helvetica"/>
    </font>
    <font>
      <b/>
      <u/>
      <sz val="14.0"/>
      <color rgb="FF0000FF"/>
      <name val="Arial"/>
    </font>
    <font>
      <sz val="10.0"/>
      <color theme="1"/>
      <name val="Arial"/>
    </font>
    <font>
      <b/>
      <sz val="10.0"/>
      <color theme="1"/>
      <name val="Arial"/>
    </font>
    <font>
      <b/>
      <u/>
      <sz val="14.0"/>
      <color rgb="FF0000FF"/>
      <name val="Arial"/>
    </font>
    <font>
      <b/>
      <sz val="9.0"/>
      <color theme="1"/>
      <name val="Arial"/>
      <scheme val="minor"/>
    </font>
    <font>
      <sz val="9.0"/>
      <color theme="1"/>
      <name val="Arial"/>
      <scheme val="minor"/>
    </font>
    <font>
      <color theme="1"/>
      <name val="Verdana"/>
    </font>
  </fonts>
  <fills count="10">
    <fill>
      <patternFill patternType="none"/>
    </fill>
    <fill>
      <patternFill patternType="lightGray"/>
    </fill>
    <fill>
      <patternFill patternType="solid">
        <fgColor rgb="FFFFC000"/>
        <bgColor rgb="FFFFC000"/>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D9EAD3"/>
        <bgColor rgb="FFD9EAD3"/>
      </patternFill>
    </fill>
    <fill>
      <patternFill patternType="solid">
        <fgColor rgb="FFF1F8F1"/>
        <bgColor rgb="FFF1F8F1"/>
      </patternFill>
    </fill>
    <fill>
      <patternFill patternType="solid">
        <fgColor rgb="FFFFF2CC"/>
        <bgColor rgb="FFFFF2CC"/>
      </patternFill>
    </fill>
    <fill>
      <patternFill patternType="solid">
        <fgColor rgb="FFF4CCCC"/>
        <bgColor rgb="FFF4CCCC"/>
      </patternFill>
    </fill>
  </fills>
  <borders count="8">
    <border/>
    <border>
      <left/>
      <right/>
      <top/>
      <bottom/>
    </border>
    <border>
      <left/>
      <right/>
      <top/>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top/>
    </border>
  </borders>
  <cellStyleXfs count="1">
    <xf borderId="0" fillId="0" fontId="0" numFmtId="0" applyAlignment="1" applyFont="1"/>
  </cellStyleXfs>
  <cellXfs count="214">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1" fillId="2" fontId="2" numFmtId="0" xfId="0" applyAlignment="1" applyBorder="1" applyFont="1">
      <alignment horizontal="center" vertical="bottom"/>
    </xf>
    <xf borderId="0" fillId="2" fontId="3" numFmtId="0" xfId="0" applyAlignment="1" applyFont="1">
      <alignment horizontal="center" readingOrder="0"/>
    </xf>
    <xf borderId="0" fillId="0" fontId="4" numFmtId="0" xfId="0" applyAlignment="1" applyFont="1">
      <alignment horizontal="center"/>
    </xf>
    <xf borderId="0" fillId="0" fontId="5" numFmtId="0" xfId="0" applyAlignment="1" applyFont="1">
      <alignment horizontal="right" vertical="bottom"/>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0" fillId="0" fontId="6" numFmtId="0" xfId="0" applyAlignment="1" applyFont="1">
      <alignment vertical="bottom"/>
    </xf>
    <xf borderId="0" fillId="0" fontId="7" numFmtId="164" xfId="0" applyAlignment="1" applyFont="1" applyNumberFormat="1">
      <alignment horizontal="center" readingOrder="0" vertical="bottom"/>
    </xf>
    <xf borderId="0" fillId="0" fontId="7" numFmtId="165" xfId="0" applyAlignment="1" applyFont="1" applyNumberFormat="1">
      <alignment horizontal="center" readingOrder="0" shrinkToFit="0" wrapText="1"/>
    </xf>
    <xf borderId="0" fillId="0" fontId="7" numFmtId="0" xfId="0" applyAlignment="1" applyFont="1">
      <alignment shrinkToFit="0" wrapText="1"/>
    </xf>
    <xf borderId="0" fillId="0" fontId="8" numFmtId="0" xfId="0" applyAlignment="1" applyFont="1">
      <alignment horizontal="center"/>
    </xf>
    <xf borderId="0" fillId="0" fontId="9" numFmtId="0" xfId="0" applyAlignment="1" applyFont="1">
      <alignment readingOrder="0"/>
    </xf>
    <xf borderId="0" fillId="0" fontId="9" numFmtId="0" xfId="0" applyFont="1"/>
    <xf borderId="0" fillId="0" fontId="10" numFmtId="0" xfId="0" applyAlignment="1" applyFont="1">
      <alignment vertical="bottom"/>
    </xf>
    <xf borderId="1" fillId="2" fontId="2" numFmtId="0" xfId="0" applyAlignment="1" applyBorder="1" applyFont="1">
      <alignment horizontal="center" readingOrder="0" vertical="bottom"/>
    </xf>
    <xf borderId="0" fillId="2" fontId="11" numFmtId="0" xfId="0" applyAlignment="1" applyFont="1">
      <alignment horizontal="center" readingOrder="0"/>
    </xf>
    <xf borderId="0" fillId="0" fontId="6" numFmtId="0" xfId="0" applyAlignment="1" applyFont="1">
      <alignment horizontal="right" vertical="bottom"/>
    </xf>
    <xf borderId="0" fillId="0" fontId="6" numFmtId="0" xfId="0" applyAlignment="1" applyFont="1">
      <alignment horizontal="center" vertical="bottom"/>
    </xf>
    <xf borderId="0" fillId="0" fontId="12" numFmtId="0" xfId="0" applyAlignment="1" applyFont="1">
      <alignment readingOrder="0"/>
    </xf>
    <xf borderId="0" fillId="0" fontId="6" numFmtId="165" xfId="0" applyAlignment="1" applyFont="1" applyNumberFormat="1">
      <alignment readingOrder="0" vertical="bottom"/>
    </xf>
    <xf borderId="0" fillId="0" fontId="13" numFmtId="0" xfId="0" applyAlignment="1" applyFont="1">
      <alignment shrinkToFit="0" vertical="bottom" wrapText="1"/>
    </xf>
    <xf borderId="0" fillId="0" fontId="6" numFmtId="166" xfId="0" applyAlignment="1" applyFont="1" applyNumberFormat="1">
      <alignment readingOrder="0" vertical="bottom"/>
    </xf>
    <xf borderId="0" fillId="0" fontId="6" numFmtId="0" xfId="0" applyAlignment="1" applyFont="1">
      <alignment readingOrder="0" vertical="bottom"/>
    </xf>
    <xf borderId="0" fillId="0" fontId="12" numFmtId="0" xfId="0" applyFont="1"/>
    <xf borderId="0" fillId="0" fontId="12" numFmtId="0" xfId="0" applyAlignment="1" applyFont="1">
      <alignment horizontal="center"/>
    </xf>
    <xf borderId="0" fillId="0" fontId="14" numFmtId="0" xfId="0" applyAlignment="1" applyFont="1">
      <alignment horizontal="center" vertical="bottom"/>
    </xf>
    <xf borderId="1" fillId="2" fontId="1" numFmtId="0" xfId="0" applyAlignment="1" applyBorder="1" applyFont="1">
      <alignment horizontal="center" vertical="bottom"/>
    </xf>
    <xf borderId="0" fillId="0" fontId="6" numFmtId="0" xfId="0" applyAlignment="1" applyFont="1">
      <alignment shrinkToFit="0" vertical="bottom" wrapText="1"/>
    </xf>
    <xf borderId="0" fillId="0" fontId="12" numFmtId="167" xfId="0" applyFont="1" applyNumberFormat="1"/>
    <xf borderId="0" fillId="0" fontId="6" numFmtId="168" xfId="0" applyAlignment="1" applyFont="1" applyNumberFormat="1">
      <alignment vertical="bottom"/>
    </xf>
    <xf borderId="0" fillId="3" fontId="11" numFmtId="0" xfId="0" applyAlignment="1" applyFill="1" applyFont="1">
      <alignment horizontal="center" readingOrder="0"/>
    </xf>
    <xf borderId="0" fillId="0" fontId="6" numFmtId="0" xfId="0" applyAlignment="1" applyFont="1">
      <alignment horizontal="right" vertical="bottom"/>
    </xf>
    <xf borderId="0" fillId="0" fontId="12" numFmtId="167" xfId="0" applyAlignment="1" applyFont="1" applyNumberFormat="1">
      <alignment readingOrder="0"/>
    </xf>
    <xf borderId="0" fillId="3" fontId="11" numFmtId="0" xfId="0" applyAlignment="1" applyFont="1">
      <alignment horizontal="center"/>
    </xf>
    <xf borderId="1" fillId="2" fontId="2" numFmtId="167" xfId="0" applyAlignment="1" applyBorder="1" applyFont="1" applyNumberFormat="1">
      <alignment horizontal="center" vertical="bottom"/>
    </xf>
    <xf borderId="0" fillId="0" fontId="12" numFmtId="0" xfId="0" applyFont="1"/>
    <xf borderId="0" fillId="3" fontId="12" numFmtId="0" xfId="0" applyAlignment="1" applyFont="1">
      <alignment readingOrder="0"/>
    </xf>
    <xf borderId="0" fillId="0" fontId="12" numFmtId="165" xfId="0" applyAlignment="1" applyFont="1" applyNumberFormat="1">
      <alignment readingOrder="0"/>
    </xf>
    <xf borderId="0" fillId="0" fontId="12" numFmtId="0" xfId="0" applyAlignment="1" applyFont="1">
      <alignment readingOrder="0" shrinkToFit="0" wrapText="1"/>
    </xf>
    <xf borderId="2" fillId="2" fontId="2" numFmtId="0" xfId="0" applyAlignment="1" applyBorder="1" applyFont="1">
      <alignment horizontal="center" vertical="bottom"/>
    </xf>
    <xf borderId="2" fillId="2" fontId="2" numFmtId="0" xfId="0" applyAlignment="1" applyBorder="1" applyFont="1">
      <alignment horizontal="center" readingOrder="0" vertical="bottom"/>
    </xf>
    <xf borderId="2" fillId="2" fontId="2" numFmtId="0" xfId="0" applyAlignment="1" applyBorder="1" applyFont="1">
      <alignment horizontal="left" readingOrder="0" vertical="bottom"/>
    </xf>
    <xf borderId="3" fillId="0" fontId="12" numFmtId="0" xfId="0" applyAlignment="1" applyBorder="1" applyFont="1">
      <alignment horizontal="center"/>
    </xf>
    <xf borderId="3" fillId="4" fontId="15" numFmtId="0" xfId="0" applyAlignment="1" applyBorder="1" applyFill="1" applyFont="1">
      <alignment horizontal="center" vertical="bottom"/>
    </xf>
    <xf borderId="3" fillId="0" fontId="6" numFmtId="0" xfId="0" applyAlignment="1" applyBorder="1" applyFont="1">
      <alignment horizontal="center" vertical="bottom"/>
    </xf>
    <xf borderId="3" fillId="0" fontId="16" numFmtId="0" xfId="0" applyAlignment="1" applyBorder="1" applyFont="1">
      <alignment horizontal="center" shrinkToFit="0" vertical="bottom" wrapText="1"/>
    </xf>
    <xf borderId="3" fillId="0" fontId="16" numFmtId="0" xfId="0" applyAlignment="1" applyBorder="1" applyFont="1">
      <alignment horizontal="center" vertical="bottom"/>
    </xf>
    <xf borderId="3" fillId="0" fontId="16" numFmtId="0" xfId="0" applyAlignment="1" applyBorder="1" applyFont="1">
      <alignment horizontal="center" readingOrder="0" vertical="bottom"/>
    </xf>
    <xf borderId="3" fillId="0" fontId="16" numFmtId="0" xfId="0" applyAlignment="1" applyBorder="1" applyFont="1">
      <alignment horizontal="center" vertical="bottom"/>
    </xf>
    <xf borderId="3" fillId="0" fontId="6" numFmtId="0" xfId="0" applyAlignment="1" applyBorder="1" applyFont="1">
      <alignment horizontal="left" vertical="bottom"/>
    </xf>
    <xf borderId="0" fillId="0" fontId="12" numFmtId="164" xfId="0" applyAlignment="1" applyFont="1" applyNumberFormat="1">
      <alignment readingOrder="0"/>
    </xf>
    <xf borderId="0" fillId="0" fontId="12" numFmtId="169" xfId="0" applyAlignment="1" applyFont="1" applyNumberFormat="1">
      <alignment readingOrder="0"/>
    </xf>
    <xf borderId="3" fillId="0" fontId="12" numFmtId="0" xfId="0" applyAlignment="1" applyBorder="1" applyFont="1">
      <alignment horizontal="left" readingOrder="0"/>
    </xf>
    <xf borderId="3" fillId="0" fontId="12" numFmtId="0" xfId="0" applyAlignment="1" applyBorder="1" applyFont="1">
      <alignment horizontal="center" readingOrder="0"/>
    </xf>
    <xf borderId="3" fillId="0" fontId="17" numFmtId="0" xfId="0" applyAlignment="1" applyBorder="1" applyFont="1">
      <alignment horizontal="center" shrinkToFit="0" vertical="bottom" wrapText="1"/>
    </xf>
    <xf borderId="3" fillId="0" fontId="18" numFmtId="0" xfId="0" applyAlignment="1" applyBorder="1" applyFont="1">
      <alignment horizontal="center" vertical="bottom"/>
    </xf>
    <xf borderId="3" fillId="0" fontId="6" numFmtId="0" xfId="0" applyAlignment="1" applyBorder="1" applyFont="1">
      <alignment horizontal="left" readingOrder="0" vertical="bottom"/>
    </xf>
    <xf borderId="0" fillId="0" fontId="12" numFmtId="170" xfId="0" applyAlignment="1" applyFont="1" applyNumberFormat="1">
      <alignment readingOrder="0"/>
    </xf>
    <xf borderId="3" fillId="0" fontId="19" numFmtId="0" xfId="0" applyAlignment="1" applyBorder="1" applyFont="1">
      <alignment vertical="bottom"/>
    </xf>
    <xf borderId="3" fillId="0" fontId="20" numFmtId="0" xfId="0" applyAlignment="1" applyBorder="1" applyFont="1">
      <alignment vertical="bottom"/>
    </xf>
    <xf borderId="3" fillId="0" fontId="12" numFmtId="0" xfId="0" applyAlignment="1" applyBorder="1" applyFont="1">
      <alignment readingOrder="0"/>
    </xf>
    <xf borderId="3" fillId="0" fontId="12" numFmtId="0" xfId="0" applyAlignment="1" applyBorder="1" applyFont="1">
      <alignment horizontal="left"/>
    </xf>
    <xf borderId="3" fillId="5" fontId="6" numFmtId="0" xfId="0" applyAlignment="1" applyBorder="1" applyFill="1" applyFont="1">
      <alignment horizontal="center" vertical="bottom"/>
    </xf>
    <xf borderId="3" fillId="5" fontId="16" numFmtId="0" xfId="0" applyAlignment="1" applyBorder="1" applyFont="1">
      <alignment horizontal="center" shrinkToFit="0" vertical="bottom" wrapText="1"/>
    </xf>
    <xf borderId="3" fillId="5" fontId="16" numFmtId="0" xfId="0" applyAlignment="1" applyBorder="1" applyFont="1">
      <alignment horizontal="center" vertical="bottom"/>
    </xf>
    <xf borderId="3" fillId="5" fontId="16" numFmtId="0" xfId="0" applyAlignment="1" applyBorder="1" applyFont="1">
      <alignment horizontal="center" vertical="bottom"/>
    </xf>
    <xf borderId="3" fillId="5" fontId="6" numFmtId="0" xfId="0" applyAlignment="1" applyBorder="1" applyFont="1">
      <alignment horizontal="left" vertical="bottom"/>
    </xf>
    <xf borderId="0" fillId="5" fontId="12" numFmtId="0" xfId="0" applyFont="1"/>
    <xf borderId="0" fillId="5" fontId="12" numFmtId="164" xfId="0" applyAlignment="1" applyFont="1" applyNumberFormat="1">
      <alignment readingOrder="0"/>
    </xf>
    <xf borderId="0" fillId="5" fontId="12" numFmtId="167" xfId="0" applyAlignment="1" applyFont="1" applyNumberFormat="1">
      <alignment readingOrder="0"/>
    </xf>
    <xf borderId="0" fillId="5" fontId="12" numFmtId="167" xfId="0" applyFont="1" applyNumberFormat="1"/>
    <xf borderId="3" fillId="0" fontId="14" numFmtId="0" xfId="0" applyAlignment="1" applyBorder="1" applyFont="1">
      <alignment shrinkToFit="0" vertical="bottom" wrapText="1"/>
    </xf>
    <xf borderId="3" fillId="0" fontId="16" numFmtId="169" xfId="0" applyAlignment="1" applyBorder="1" applyFont="1" applyNumberFormat="1">
      <alignment horizontal="center" readingOrder="0" shrinkToFit="0" vertical="bottom" wrapText="1"/>
    </xf>
    <xf borderId="3" fillId="6" fontId="16" numFmtId="0" xfId="0" applyAlignment="1" applyBorder="1" applyFill="1" applyFont="1">
      <alignment horizontal="center" shrinkToFit="0" vertical="bottom" wrapText="1"/>
    </xf>
    <xf borderId="3" fillId="6" fontId="18" numFmtId="0" xfId="0" applyAlignment="1" applyBorder="1" applyFont="1">
      <alignment horizontal="center" vertical="bottom"/>
    </xf>
    <xf borderId="3" fillId="6" fontId="12" numFmtId="0" xfId="0" applyAlignment="1" applyBorder="1" applyFont="1">
      <alignment horizontal="center"/>
    </xf>
    <xf borderId="3" fillId="6" fontId="18" numFmtId="0" xfId="0" applyAlignment="1" applyBorder="1" applyFont="1">
      <alignment horizontal="left" vertical="bottom"/>
    </xf>
    <xf borderId="3" fillId="6" fontId="16" numFmtId="0" xfId="0" applyAlignment="1" applyBorder="1" applyFont="1">
      <alignment horizontal="center" vertical="bottom"/>
    </xf>
    <xf borderId="0" fillId="6" fontId="12" numFmtId="0" xfId="0" applyFont="1"/>
    <xf borderId="3" fillId="6" fontId="16" numFmtId="171" xfId="0" applyAlignment="1" applyBorder="1" applyFont="1" applyNumberFormat="1">
      <alignment horizontal="center" shrinkToFit="0" vertical="bottom" wrapText="1"/>
    </xf>
    <xf borderId="3" fillId="0" fontId="16" numFmtId="0" xfId="0" applyAlignment="1" applyBorder="1" applyFont="1">
      <alignment horizontal="center" readingOrder="0" shrinkToFit="0" vertical="bottom" wrapText="1"/>
    </xf>
    <xf borderId="3" fillId="0" fontId="18" numFmtId="0" xfId="0" applyAlignment="1" applyBorder="1" applyFont="1">
      <alignment horizontal="center" readingOrder="0" vertical="bottom"/>
    </xf>
    <xf borderId="0" fillId="0" fontId="12" numFmtId="0" xfId="0" applyAlignment="1" applyFont="1">
      <alignment horizontal="left"/>
    </xf>
    <xf borderId="0" fillId="0" fontId="21" numFmtId="0" xfId="0" applyAlignment="1" applyFont="1">
      <alignment readingOrder="0" vertical="bottom"/>
    </xf>
    <xf borderId="0" fillId="7" fontId="22" numFmtId="0" xfId="0" applyAlignment="1" applyFill="1" applyFont="1">
      <alignment horizontal="center" vertical="bottom"/>
    </xf>
    <xf borderId="3" fillId="0" fontId="23" numFmtId="0" xfId="0" applyAlignment="1" applyBorder="1" applyFont="1">
      <alignment horizontal="center" vertical="bottom"/>
    </xf>
    <xf borderId="3" fillId="0" fontId="24" numFmtId="0" xfId="0" applyAlignment="1" applyBorder="1" applyFont="1">
      <alignment horizontal="center" shrinkToFit="0" vertical="bottom" wrapText="1"/>
    </xf>
    <xf borderId="3" fillId="0" fontId="24" numFmtId="164" xfId="0" applyAlignment="1" applyBorder="1" applyFont="1" applyNumberFormat="1">
      <alignment horizontal="center" readingOrder="0" shrinkToFit="0" vertical="bottom" wrapText="1"/>
    </xf>
    <xf borderId="0" fillId="4" fontId="25" numFmtId="0" xfId="0" applyAlignment="1" applyFont="1">
      <alignment vertical="bottom"/>
    </xf>
    <xf borderId="3" fillId="0" fontId="24" numFmtId="0" xfId="0" applyAlignment="1" applyBorder="1" applyFont="1">
      <alignment horizontal="center" vertical="bottom"/>
    </xf>
    <xf borderId="3" fillId="0" fontId="17" numFmtId="164" xfId="0" applyAlignment="1" applyBorder="1" applyFont="1" applyNumberFormat="1">
      <alignment horizontal="center" readingOrder="0" shrinkToFit="0" vertical="bottom" wrapText="1"/>
    </xf>
    <xf borderId="4" fillId="0" fontId="24" numFmtId="0" xfId="0" applyAlignment="1" applyBorder="1" applyFont="1">
      <alignment horizontal="center" vertical="bottom"/>
    </xf>
    <xf borderId="5" fillId="0" fontId="26" numFmtId="0" xfId="0" applyBorder="1" applyFont="1"/>
    <xf borderId="6" fillId="0" fontId="26" numFmtId="0" xfId="0" applyBorder="1" applyFont="1"/>
    <xf borderId="3" fillId="0" fontId="20" numFmtId="0" xfId="0" applyAlignment="1" applyBorder="1" applyFont="1">
      <alignment horizontal="center" vertical="bottom"/>
    </xf>
    <xf borderId="3" fillId="8" fontId="16" numFmtId="0" xfId="0" applyAlignment="1" applyBorder="1" applyFill="1" applyFont="1">
      <alignment horizontal="center" vertical="bottom"/>
    </xf>
    <xf borderId="3" fillId="8" fontId="16" numFmtId="0" xfId="0" applyAlignment="1" applyBorder="1" applyFont="1">
      <alignment horizontal="center" shrinkToFit="0" vertical="bottom" wrapText="1"/>
    </xf>
    <xf borderId="3" fillId="4" fontId="23" numFmtId="0" xfId="0" applyAlignment="1" applyBorder="1" applyFont="1">
      <alignment vertical="bottom"/>
    </xf>
    <xf borderId="3" fillId="0" fontId="23" numFmtId="0" xfId="0" applyAlignment="1" applyBorder="1" applyFont="1">
      <alignment vertical="bottom"/>
    </xf>
    <xf borderId="3" fillId="4" fontId="16" numFmtId="0" xfId="0" applyAlignment="1" applyBorder="1" applyFont="1">
      <alignment horizontal="center" vertical="bottom"/>
    </xf>
    <xf borderId="3" fillId="0" fontId="16" numFmtId="170" xfId="0" applyAlignment="1" applyBorder="1" applyFont="1" applyNumberFormat="1">
      <alignment horizontal="center" readingOrder="0" shrinkToFit="0" vertical="bottom" wrapText="1"/>
    </xf>
    <xf borderId="3" fillId="0" fontId="6" numFmtId="0" xfId="0" applyAlignment="1" applyBorder="1" applyFont="1">
      <alignment vertical="bottom"/>
    </xf>
    <xf borderId="3" fillId="4" fontId="27" numFmtId="0" xfId="0" applyAlignment="1" applyBorder="1" applyFont="1">
      <alignment horizontal="center" vertical="bottom"/>
    </xf>
    <xf borderId="0" fillId="0" fontId="12" numFmtId="0" xfId="0" applyAlignment="1" applyFont="1">
      <alignment horizontal="center" readingOrder="0"/>
    </xf>
    <xf borderId="3" fillId="4" fontId="27" numFmtId="0" xfId="0" applyAlignment="1" applyBorder="1" applyFont="1">
      <alignment horizontal="center" shrinkToFit="0" vertical="top" wrapText="0"/>
    </xf>
    <xf borderId="3" fillId="0" fontId="24" numFmtId="171" xfId="0" applyAlignment="1" applyBorder="1" applyFont="1" applyNumberFormat="1">
      <alignment horizontal="center" vertical="bottom"/>
    </xf>
    <xf borderId="0" fillId="0" fontId="24" numFmtId="171" xfId="0" applyAlignment="1" applyFont="1" applyNumberFormat="1">
      <alignment horizontal="center" vertical="bottom"/>
    </xf>
    <xf borderId="3" fillId="4" fontId="28" numFmtId="0" xfId="0" applyAlignment="1" applyBorder="1" applyFont="1">
      <alignment vertical="bottom"/>
    </xf>
    <xf borderId="3" fillId="4" fontId="28" numFmtId="0" xfId="0" applyAlignment="1" applyBorder="1" applyFont="1">
      <alignment horizontal="center" vertical="bottom"/>
    </xf>
    <xf borderId="3" fillId="0" fontId="29" numFmtId="0" xfId="0" applyAlignment="1" applyBorder="1" applyFont="1">
      <alignment shrinkToFit="0" vertical="bottom" wrapText="1"/>
    </xf>
    <xf borderId="3" fillId="0" fontId="29" numFmtId="0" xfId="0" applyAlignment="1" applyBorder="1" applyFont="1">
      <alignment horizontal="right" shrinkToFit="0" vertical="bottom" wrapText="1"/>
    </xf>
    <xf borderId="3" fillId="0" fontId="5" numFmtId="0" xfId="0" applyAlignment="1" applyBorder="1" applyFont="1">
      <alignment vertical="bottom"/>
    </xf>
    <xf borderId="3" fillId="0" fontId="29" numFmtId="0" xfId="0" applyAlignment="1" applyBorder="1" applyFont="1">
      <alignment vertical="bottom"/>
    </xf>
    <xf borderId="3" fillId="0" fontId="7" numFmtId="0" xfId="0" applyAlignment="1" applyBorder="1" applyFont="1">
      <alignment readingOrder="0" vertical="bottom"/>
    </xf>
    <xf borderId="3" fillId="0" fontId="7" numFmtId="0" xfId="0" applyAlignment="1" applyBorder="1" applyFont="1">
      <alignment vertical="bottom"/>
    </xf>
    <xf borderId="3" fillId="0" fontId="29" numFmtId="0" xfId="0" applyAlignment="1" applyBorder="1" applyFont="1">
      <alignment horizontal="right" vertical="bottom"/>
    </xf>
    <xf borderId="3" fillId="0" fontId="28" numFmtId="0" xfId="0" applyAlignment="1" applyBorder="1" applyFont="1">
      <alignment shrinkToFit="0" vertical="bottom" wrapText="1"/>
    </xf>
    <xf borderId="3" fillId="0" fontId="6" numFmtId="0" xfId="0" applyAlignment="1" applyBorder="1" applyFont="1">
      <alignment horizontal="right" vertical="bottom"/>
    </xf>
    <xf borderId="3" fillId="4" fontId="20" numFmtId="0" xfId="0" applyAlignment="1" applyBorder="1" applyFont="1">
      <alignment vertical="bottom"/>
    </xf>
    <xf borderId="3" fillId="3" fontId="30" numFmtId="0" xfId="0" applyAlignment="1" applyBorder="1" applyFont="1">
      <alignment readingOrder="0" shrinkToFit="0" vertical="bottom" wrapText="0"/>
    </xf>
    <xf borderId="3" fillId="0" fontId="28" numFmtId="0" xfId="0" applyAlignment="1" applyBorder="1" applyFont="1">
      <alignment horizontal="center" vertical="bottom"/>
    </xf>
    <xf borderId="3" fillId="0" fontId="28" numFmtId="169" xfId="0" applyAlignment="1" applyBorder="1" applyFont="1" applyNumberFormat="1">
      <alignment horizontal="center" readingOrder="0" vertical="bottom"/>
    </xf>
    <xf borderId="1" fillId="2" fontId="2" numFmtId="0" xfId="0" applyAlignment="1" applyBorder="1" applyFont="1">
      <alignment horizontal="center" shrinkToFit="0" vertical="bottom" wrapText="1"/>
    </xf>
    <xf borderId="3" fillId="4" fontId="29" numFmtId="0" xfId="0" applyAlignment="1" applyBorder="1" applyFont="1">
      <alignment shrinkToFit="0" vertical="bottom" wrapText="1"/>
    </xf>
    <xf borderId="0" fillId="0" fontId="20" numFmtId="0" xfId="0" applyAlignment="1" applyFont="1">
      <alignment vertical="bottom"/>
    </xf>
    <xf borderId="3" fillId="4" fontId="5" numFmtId="0" xfId="0" applyAlignment="1" applyBorder="1" applyFont="1">
      <alignment vertical="bottom"/>
    </xf>
    <xf borderId="3" fillId="4" fontId="29" numFmtId="0" xfId="0" applyAlignment="1" applyBorder="1" applyFont="1">
      <alignment vertical="bottom"/>
    </xf>
    <xf borderId="0" fillId="0" fontId="29" numFmtId="0" xfId="0" applyAlignment="1" applyFont="1">
      <alignment vertical="bottom"/>
    </xf>
    <xf borderId="3" fillId="0" fontId="31" numFmtId="0" xfId="0" applyAlignment="1" applyBorder="1" applyFont="1">
      <alignment vertical="bottom"/>
    </xf>
    <xf borderId="3" fillId="9" fontId="29" numFmtId="0" xfId="0" applyAlignment="1" applyBorder="1" applyFill="1" applyFont="1">
      <alignment vertical="bottom"/>
    </xf>
    <xf borderId="3" fillId="9" fontId="29" numFmtId="0" xfId="0" applyAlignment="1" applyBorder="1" applyFont="1">
      <alignment horizontal="right" vertical="bottom"/>
    </xf>
    <xf borderId="3" fillId="9" fontId="29" numFmtId="0" xfId="0" applyAlignment="1" applyBorder="1" applyFont="1">
      <alignment shrinkToFit="0" vertical="bottom" wrapText="1"/>
    </xf>
    <xf borderId="3" fillId="9" fontId="31" numFmtId="0" xfId="0" applyAlignment="1" applyBorder="1" applyFont="1">
      <alignment vertical="bottom"/>
    </xf>
    <xf borderId="4" fillId="0" fontId="29" numFmtId="0" xfId="0" applyAlignment="1" applyBorder="1" applyFont="1">
      <alignment shrinkToFit="0" vertical="bottom" wrapText="1"/>
    </xf>
    <xf borderId="3" fillId="0" fontId="29" numFmtId="170" xfId="0" applyAlignment="1" applyBorder="1" applyFont="1" applyNumberFormat="1">
      <alignment readingOrder="0" vertical="bottom"/>
    </xf>
    <xf borderId="3" fillId="4" fontId="29" numFmtId="0" xfId="0" applyAlignment="1" applyBorder="1" applyFont="1">
      <alignment horizontal="right" vertical="bottom"/>
    </xf>
    <xf borderId="3" fillId="4" fontId="6" numFmtId="0" xfId="0" applyAlignment="1" applyBorder="1" applyFont="1">
      <alignment vertical="bottom"/>
    </xf>
    <xf borderId="3" fillId="4" fontId="6" numFmtId="0" xfId="0" applyAlignment="1" applyBorder="1" applyFont="1">
      <alignment horizontal="right" vertical="bottom"/>
    </xf>
    <xf borderId="3" fillId="4" fontId="7" numFmtId="0" xfId="0" applyAlignment="1" applyBorder="1" applyFont="1">
      <alignment shrinkToFit="0" vertical="bottom" wrapText="1"/>
    </xf>
    <xf borderId="3" fillId="4" fontId="7" numFmtId="0" xfId="0" applyAlignment="1" applyBorder="1" applyFont="1">
      <alignment vertical="bottom"/>
    </xf>
    <xf borderId="0" fillId="0" fontId="28" numFmtId="0" xfId="0" applyAlignment="1" applyFont="1">
      <alignment vertical="bottom"/>
    </xf>
    <xf borderId="0" fillId="0" fontId="12" numFmtId="0" xfId="0" applyAlignment="1" applyFont="1">
      <alignment shrinkToFit="0" wrapText="1"/>
    </xf>
    <xf borderId="1" fillId="2" fontId="2" numFmtId="0" xfId="0" applyAlignment="1" applyBorder="1" applyFont="1">
      <alignment horizontal="center" vertical="bottom"/>
    </xf>
    <xf borderId="1" fillId="2" fontId="2" numFmtId="0" xfId="0" applyAlignment="1" applyBorder="1" applyFont="1">
      <alignment horizontal="center" shrinkToFit="0" vertical="bottom" wrapText="0"/>
    </xf>
    <xf borderId="0" fillId="2" fontId="32" numFmtId="0" xfId="0" applyAlignment="1" applyFont="1">
      <alignment horizontal="center" readingOrder="0"/>
    </xf>
    <xf borderId="3" fillId="0" fontId="29" numFmtId="0" xfId="0" applyAlignment="1" applyBorder="1" applyFont="1">
      <alignment shrinkToFit="0" vertical="bottom" wrapText="0"/>
    </xf>
    <xf borderId="3" fillId="4" fontId="7" numFmtId="170" xfId="0" applyAlignment="1" applyBorder="1" applyFont="1" applyNumberFormat="1">
      <alignment readingOrder="0" vertical="bottom"/>
    </xf>
    <xf borderId="3" fillId="0" fontId="6" numFmtId="0" xfId="0" applyAlignment="1" applyBorder="1" applyFont="1">
      <alignment shrinkToFit="0" vertical="bottom" wrapText="0"/>
    </xf>
    <xf borderId="3" fillId="0" fontId="29" numFmtId="0" xfId="0" applyAlignment="1" applyBorder="1" applyFont="1">
      <alignment readingOrder="0" vertical="bottom"/>
    </xf>
    <xf borderId="3" fillId="9" fontId="29" numFmtId="0" xfId="0" applyAlignment="1" applyBorder="1" applyFont="1">
      <alignment shrinkToFit="0" vertical="bottom" wrapText="0"/>
    </xf>
    <xf borderId="0" fillId="9" fontId="23" numFmtId="0" xfId="0" applyAlignment="1" applyFont="1">
      <alignment vertical="bottom"/>
    </xf>
    <xf borderId="0" fillId="9" fontId="20" numFmtId="0" xfId="0" applyAlignment="1" applyFont="1">
      <alignment vertical="bottom"/>
    </xf>
    <xf borderId="3" fillId="9" fontId="29" numFmtId="172" xfId="0" applyAlignment="1" applyBorder="1" applyFont="1" applyNumberFormat="1">
      <alignment vertical="bottom"/>
    </xf>
    <xf borderId="3" fillId="0" fontId="29" numFmtId="172" xfId="0" applyAlignment="1" applyBorder="1" applyFont="1" applyNumberFormat="1">
      <alignment vertical="bottom"/>
    </xf>
    <xf borderId="0" fillId="0" fontId="33" numFmtId="0" xfId="0" applyAlignment="1" applyFont="1">
      <alignment vertical="bottom"/>
    </xf>
    <xf borderId="3" fillId="0" fontId="29" numFmtId="170" xfId="0" applyAlignment="1" applyBorder="1" applyFont="1" applyNumberFormat="1">
      <alignment vertical="bottom"/>
    </xf>
    <xf borderId="0" fillId="7" fontId="34" numFmtId="0" xfId="0" applyAlignment="1" applyFont="1">
      <alignment vertical="bottom"/>
    </xf>
    <xf borderId="0" fillId="0" fontId="12" numFmtId="0" xfId="0" applyAlignment="1" applyFont="1">
      <alignment shrinkToFit="0" wrapText="0"/>
    </xf>
    <xf borderId="2" fillId="2" fontId="35" numFmtId="0" xfId="0" applyAlignment="1" applyBorder="1" applyFont="1">
      <alignment horizontal="center" readingOrder="0" vertical="bottom"/>
    </xf>
    <xf borderId="2" fillId="2" fontId="2" numFmtId="0" xfId="0" applyAlignment="1" applyBorder="1" applyFont="1">
      <alignment horizontal="center" shrinkToFit="0" vertical="bottom" wrapText="0"/>
    </xf>
    <xf borderId="2" fillId="2" fontId="2" numFmtId="167" xfId="0" applyAlignment="1" applyBorder="1" applyFont="1" applyNumberFormat="1">
      <alignment horizontal="center" vertical="bottom"/>
    </xf>
    <xf borderId="3" fillId="0" fontId="36" numFmtId="0" xfId="0" applyAlignment="1" applyBorder="1" applyFont="1">
      <alignment horizontal="center" readingOrder="0"/>
    </xf>
    <xf borderId="3" fillId="4" fontId="36" numFmtId="0" xfId="0" applyAlignment="1" applyBorder="1" applyFont="1">
      <alignment horizontal="center" vertical="bottom"/>
    </xf>
    <xf borderId="3" fillId="4" fontId="36" numFmtId="0" xfId="0" applyAlignment="1" applyBorder="1" applyFont="1">
      <alignment horizontal="center" shrinkToFit="0" vertical="bottom" wrapText="1"/>
    </xf>
    <xf borderId="3" fillId="0" fontId="36" numFmtId="0" xfId="0" applyAlignment="1" applyBorder="1" applyFont="1">
      <alignment horizontal="center" vertical="bottom"/>
    </xf>
    <xf borderId="3" fillId="0" fontId="36" numFmtId="0" xfId="0" applyAlignment="1" applyBorder="1" applyFont="1">
      <alignment horizontal="center" readingOrder="0" vertical="bottom"/>
    </xf>
    <xf borderId="3" fillId="0" fontId="36" numFmtId="0" xfId="0" applyAlignment="1" applyBorder="1" applyFont="1">
      <alignment horizontal="center" readingOrder="0" shrinkToFit="0" wrapText="0"/>
    </xf>
    <xf borderId="3" fillId="0" fontId="36" numFmtId="0" xfId="0" applyAlignment="1" applyBorder="1" applyFont="1">
      <alignment horizontal="center"/>
    </xf>
    <xf borderId="3" fillId="4" fontId="36" numFmtId="170" xfId="0" applyAlignment="1" applyBorder="1" applyFont="1" applyNumberFormat="1">
      <alignment horizontal="center" readingOrder="0" vertical="bottom"/>
    </xf>
    <xf borderId="3" fillId="0" fontId="36" numFmtId="167" xfId="0" applyAlignment="1" applyBorder="1" applyFont="1" applyNumberFormat="1">
      <alignment horizontal="center" readingOrder="0"/>
    </xf>
    <xf borderId="3" fillId="0" fontId="36" numFmtId="167" xfId="0" applyAlignment="1" applyBorder="1" applyFont="1" applyNumberFormat="1">
      <alignment horizontal="center"/>
    </xf>
    <xf borderId="3" fillId="0" fontId="36" numFmtId="165" xfId="0" applyAlignment="1" applyBorder="1" applyFont="1" applyNumberFormat="1">
      <alignment horizontal="center" readingOrder="0"/>
    </xf>
    <xf borderId="3" fillId="0" fontId="36" numFmtId="170" xfId="0" applyAlignment="1" applyBorder="1" applyFont="1" applyNumberFormat="1">
      <alignment horizontal="center" readingOrder="0"/>
    </xf>
    <xf borderId="3" fillId="0" fontId="36" numFmtId="0" xfId="0" applyAlignment="1" applyBorder="1" applyFont="1">
      <alignment horizontal="center" shrinkToFit="0" vertical="bottom" wrapText="1"/>
    </xf>
    <xf borderId="3" fillId="9" fontId="36" numFmtId="0" xfId="0" applyAlignment="1" applyBorder="1" applyFont="1">
      <alignment horizontal="center" vertical="bottom"/>
    </xf>
    <xf borderId="3" fillId="9" fontId="36" numFmtId="0" xfId="0" applyAlignment="1" applyBorder="1" applyFont="1">
      <alignment horizontal="center" shrinkToFit="0" vertical="bottom" wrapText="1"/>
    </xf>
    <xf borderId="3" fillId="0" fontId="6" numFmtId="170" xfId="0" applyAlignment="1" applyBorder="1" applyFont="1" applyNumberFormat="1">
      <alignment horizontal="center" readingOrder="0"/>
    </xf>
    <xf borderId="3" fillId="0" fontId="6" numFmtId="0" xfId="0" applyAlignment="1" applyBorder="1" applyFont="1">
      <alignment horizontal="center"/>
    </xf>
    <xf borderId="3" fillId="7" fontId="36" numFmtId="0" xfId="0" applyAlignment="1" applyBorder="1" applyFont="1">
      <alignment horizontal="center" vertical="bottom"/>
    </xf>
    <xf borderId="3" fillId="0" fontId="37" numFmtId="0" xfId="0" applyAlignment="1" applyBorder="1" applyFont="1">
      <alignment horizontal="center" vertical="bottom"/>
    </xf>
    <xf borderId="3" fillId="0" fontId="36" numFmtId="170" xfId="0" applyAlignment="1" applyBorder="1" applyFont="1" applyNumberFormat="1">
      <alignment horizontal="center" readingOrder="0" vertical="bottom"/>
    </xf>
    <xf borderId="3" fillId="0" fontId="36" numFmtId="0" xfId="0" applyAlignment="1" applyBorder="1" applyFont="1">
      <alignment horizontal="center" readingOrder="0" vertical="center"/>
    </xf>
    <xf borderId="3" fillId="0" fontId="36" numFmtId="0" xfId="0" applyAlignment="1" applyBorder="1" applyFont="1">
      <alignment horizontal="center" shrinkToFit="0" vertical="center" wrapText="1"/>
    </xf>
    <xf borderId="3" fillId="0" fontId="36" numFmtId="0" xfId="0" applyAlignment="1" applyBorder="1" applyFont="1">
      <alignment horizontal="center" vertical="center"/>
    </xf>
    <xf borderId="3" fillId="0" fontId="36" numFmtId="167" xfId="0" applyAlignment="1" applyBorder="1" applyFont="1" applyNumberFormat="1">
      <alignment horizontal="center" readingOrder="0" vertical="center"/>
    </xf>
    <xf borderId="3" fillId="0" fontId="36" numFmtId="167" xfId="0" applyAlignment="1" applyBorder="1" applyFont="1" applyNumberFormat="1">
      <alignment horizontal="center" vertical="center"/>
    </xf>
    <xf borderId="3" fillId="0" fontId="36" numFmtId="170" xfId="0" applyAlignment="1" applyBorder="1" applyFont="1" applyNumberFormat="1">
      <alignment horizontal="center" readingOrder="0" vertical="center"/>
    </xf>
    <xf borderId="3" fillId="0" fontId="36" numFmtId="0" xfId="0" applyAlignment="1" applyBorder="1" applyFont="1">
      <alignment horizontal="center" shrinkToFit="0" vertical="bottom" wrapText="0"/>
    </xf>
    <xf borderId="0" fillId="0" fontId="12" numFmtId="0" xfId="0" applyAlignment="1" applyFont="1">
      <alignment horizontal="center" shrinkToFit="0" wrapText="0"/>
    </xf>
    <xf borderId="3" fillId="2" fontId="38" numFmtId="0" xfId="0" applyAlignment="1" applyBorder="1" applyFont="1">
      <alignment horizontal="center" readingOrder="0" vertical="center"/>
    </xf>
    <xf borderId="3" fillId="2" fontId="2" numFmtId="0" xfId="0" applyAlignment="1" applyBorder="1" applyFont="1">
      <alignment horizontal="center" vertical="center"/>
    </xf>
    <xf borderId="3" fillId="2" fontId="2" numFmtId="0" xfId="0" applyAlignment="1" applyBorder="1" applyFont="1">
      <alignment horizontal="center" shrinkToFit="0" vertical="center" wrapText="0"/>
    </xf>
    <xf borderId="3" fillId="2" fontId="2" numFmtId="0" xfId="0" applyAlignment="1" applyBorder="1" applyFont="1">
      <alignment horizontal="center" readingOrder="0" vertical="center"/>
    </xf>
    <xf borderId="3" fillId="2" fontId="39" numFmtId="0" xfId="0" applyAlignment="1" applyBorder="1" applyFont="1">
      <alignment horizontal="center" readingOrder="0" vertical="center"/>
    </xf>
    <xf borderId="3" fillId="2" fontId="2" numFmtId="167" xfId="0" applyAlignment="1" applyBorder="1" applyFont="1" applyNumberFormat="1">
      <alignment horizontal="center" vertical="center"/>
    </xf>
    <xf borderId="7" fillId="2" fontId="2" numFmtId="0" xfId="0" applyAlignment="1" applyBorder="1" applyFont="1">
      <alignment horizontal="center" vertical="bottom"/>
    </xf>
    <xf borderId="3" fillId="0" fontId="40" numFmtId="0" xfId="0" applyAlignment="1" applyBorder="1" applyFont="1">
      <alignment horizontal="center" vertical="center"/>
    </xf>
    <xf borderId="3" fillId="0" fontId="29" numFmtId="0" xfId="0" applyAlignment="1" applyBorder="1" applyFont="1">
      <alignment horizontal="center" vertical="center"/>
    </xf>
    <xf borderId="3" fillId="0" fontId="29" numFmtId="0" xfId="0" applyAlignment="1" applyBorder="1" applyFont="1">
      <alignment horizontal="center" shrinkToFit="0" vertical="center" wrapText="1"/>
    </xf>
    <xf borderId="3" fillId="0" fontId="12" numFmtId="0" xfId="0" applyAlignment="1" applyBorder="1" applyFont="1">
      <alignment horizontal="center" vertical="center"/>
    </xf>
    <xf borderId="3" fillId="0" fontId="12" numFmtId="0" xfId="0" applyAlignment="1" applyBorder="1" applyFont="1">
      <alignment horizontal="center" readingOrder="0" vertical="center"/>
    </xf>
    <xf borderId="3" fillId="0" fontId="29" numFmtId="167" xfId="0" applyAlignment="1" applyBorder="1" applyFont="1" applyNumberFormat="1">
      <alignment horizontal="center" readingOrder="0" vertical="center"/>
    </xf>
    <xf borderId="3" fillId="0" fontId="14" numFmtId="0" xfId="0" applyAlignment="1" applyBorder="1" applyFont="1">
      <alignment horizontal="center" vertical="center"/>
    </xf>
    <xf borderId="3" fillId="0" fontId="12" numFmtId="165" xfId="0" applyAlignment="1" applyBorder="1" applyFont="1" applyNumberFormat="1">
      <alignment horizontal="center" readingOrder="0" vertical="center"/>
    </xf>
    <xf borderId="3" fillId="4" fontId="41" numFmtId="0" xfId="0" applyAlignment="1" applyBorder="1" applyFont="1">
      <alignment horizontal="center" vertical="center"/>
    </xf>
    <xf borderId="3" fillId="0" fontId="6" numFmtId="0" xfId="0" applyAlignment="1" applyBorder="1" applyFont="1">
      <alignment horizontal="center" vertical="center"/>
    </xf>
    <xf borderId="3" fillId="0" fontId="29" numFmtId="0" xfId="0" applyAlignment="1" applyBorder="1" applyFont="1">
      <alignment horizontal="center" vertical="bottom"/>
    </xf>
    <xf borderId="3" fillId="0" fontId="29" numFmtId="0" xfId="0" applyAlignment="1" applyBorder="1" applyFont="1">
      <alignment horizontal="center" shrinkToFit="0" vertical="bottom" wrapText="1"/>
    </xf>
    <xf borderId="3" fillId="0" fontId="40" numFmtId="0" xfId="0" applyAlignment="1" applyBorder="1" applyFont="1">
      <alignment horizontal="center" vertical="bottom"/>
    </xf>
    <xf borderId="3" fillId="0" fontId="14" numFmtId="0" xfId="0" applyAlignment="1" applyBorder="1" applyFont="1">
      <alignment horizontal="center" vertical="bottom"/>
    </xf>
    <xf borderId="0" fillId="0" fontId="40"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folders/1gDRpUknFU_Vd5f5sJgXOUyzwZC8KsV3_?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drive/folders/1Saq5fOMAoBv95dfWklUXvqm853hGA094?usp=sharing"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EmPMCYqE-YVwYr9_l5BvuqsXUMUnTjj0?usp=sharing"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7.5"/>
    <col customWidth="1" min="3" max="3" width="18.75"/>
    <col customWidth="1" min="4" max="4" width="10.88"/>
    <col customWidth="1" min="5" max="5" width="31.38"/>
    <col customWidth="1" min="6" max="6" width="30.13"/>
    <col customWidth="1" min="7" max="7" width="42.75"/>
    <col customWidth="1" min="8" max="8" width="15.25"/>
    <col customWidth="1" min="9" max="9" width="17.63"/>
    <col customWidth="1" min="10" max="10" width="17.0"/>
    <col customWidth="1" min="11" max="11" width="13.88"/>
    <col customWidth="1" min="12" max="12" width="21.38"/>
    <col customWidth="1" min="13" max="14" width="35.5"/>
    <col customWidth="1" min="15" max="15" width="85.63"/>
  </cols>
  <sheetData>
    <row r="1">
      <c r="A1" s="1" t="s">
        <v>0</v>
      </c>
      <c r="B1" s="1" t="s">
        <v>1</v>
      </c>
      <c r="C1" s="1" t="s">
        <v>2</v>
      </c>
      <c r="D1" s="1" t="s">
        <v>3</v>
      </c>
      <c r="E1" s="1" t="s">
        <v>4</v>
      </c>
      <c r="F1" s="1" t="s">
        <v>5</v>
      </c>
      <c r="G1" s="1" t="s">
        <v>6</v>
      </c>
      <c r="H1" s="1" t="s">
        <v>7</v>
      </c>
      <c r="I1" s="1" t="s">
        <v>8</v>
      </c>
      <c r="J1" s="1" t="s">
        <v>9</v>
      </c>
      <c r="K1" s="1" t="s">
        <v>10</v>
      </c>
      <c r="L1" s="1" t="s">
        <v>11</v>
      </c>
      <c r="M1" s="2" t="s">
        <v>12</v>
      </c>
      <c r="N1" s="1" t="s">
        <v>13</v>
      </c>
      <c r="O1" s="1" t="s">
        <v>14</v>
      </c>
      <c r="P1" s="3" t="s">
        <v>15</v>
      </c>
      <c r="Q1" s="4"/>
      <c r="R1" s="4"/>
      <c r="S1" s="4"/>
      <c r="T1" s="4"/>
      <c r="U1" s="4"/>
      <c r="V1" s="4"/>
      <c r="W1" s="4"/>
      <c r="X1" s="4"/>
      <c r="Y1" s="4"/>
      <c r="Z1" s="4"/>
      <c r="AA1" s="4"/>
      <c r="AB1" s="4"/>
    </row>
    <row r="2">
      <c r="A2" s="5">
        <v>1.0</v>
      </c>
      <c r="B2" s="6" t="s">
        <v>16</v>
      </c>
      <c r="C2" s="7"/>
      <c r="D2" s="7"/>
      <c r="E2" s="6" t="s">
        <v>17</v>
      </c>
      <c r="F2" s="6" t="s">
        <v>18</v>
      </c>
      <c r="G2" s="8" t="s">
        <v>19</v>
      </c>
      <c r="H2" s="6" t="s">
        <v>20</v>
      </c>
      <c r="I2" s="7"/>
      <c r="J2" s="7"/>
      <c r="K2" s="9"/>
      <c r="L2" s="10">
        <v>45656.0</v>
      </c>
      <c r="M2" s="11">
        <v>45672.0</v>
      </c>
      <c r="N2" s="12" t="s">
        <v>21</v>
      </c>
      <c r="O2" s="13" t="s">
        <v>22</v>
      </c>
      <c r="P2" s="14" t="s">
        <v>23</v>
      </c>
      <c r="Q2" s="15"/>
      <c r="R2" s="15"/>
      <c r="S2" s="15"/>
      <c r="T2" s="15"/>
      <c r="U2" s="15"/>
      <c r="V2" s="15"/>
      <c r="W2" s="15"/>
      <c r="X2" s="15"/>
      <c r="Y2" s="15"/>
      <c r="Z2" s="15"/>
      <c r="AA2" s="15"/>
      <c r="AB2" s="15"/>
    </row>
    <row r="3">
      <c r="A3" s="5">
        <v>2.0</v>
      </c>
      <c r="B3" s="6" t="s">
        <v>24</v>
      </c>
      <c r="C3" s="7"/>
      <c r="D3" s="7"/>
      <c r="E3" s="6" t="s">
        <v>25</v>
      </c>
      <c r="F3" s="6" t="s">
        <v>18</v>
      </c>
      <c r="G3" s="8" t="s">
        <v>19</v>
      </c>
      <c r="H3" s="6" t="s">
        <v>20</v>
      </c>
      <c r="I3" s="7"/>
      <c r="J3" s="7"/>
      <c r="K3" s="9"/>
      <c r="L3" s="10">
        <v>45656.0</v>
      </c>
      <c r="M3" s="11">
        <v>45672.0</v>
      </c>
      <c r="P3" s="14" t="s">
        <v>23</v>
      </c>
      <c r="Q3" s="15"/>
      <c r="R3" s="15"/>
      <c r="S3" s="15"/>
      <c r="T3" s="15"/>
      <c r="U3" s="15"/>
      <c r="V3" s="15"/>
      <c r="W3" s="15"/>
      <c r="X3" s="15"/>
      <c r="Y3" s="15"/>
      <c r="Z3" s="15"/>
      <c r="AA3" s="15"/>
      <c r="AB3" s="15"/>
    </row>
    <row r="4">
      <c r="A4" s="5">
        <v>3.0</v>
      </c>
      <c r="B4" s="6" t="s">
        <v>26</v>
      </c>
      <c r="C4" s="7"/>
      <c r="D4" s="7"/>
      <c r="E4" s="16" t="s">
        <v>27</v>
      </c>
      <c r="F4" s="6" t="s">
        <v>18</v>
      </c>
      <c r="G4" s="8" t="s">
        <v>19</v>
      </c>
      <c r="H4" s="6" t="s">
        <v>20</v>
      </c>
      <c r="I4" s="7"/>
      <c r="J4" s="7"/>
      <c r="K4" s="9"/>
      <c r="L4" s="10">
        <v>45656.0</v>
      </c>
      <c r="M4" s="11">
        <v>45672.0</v>
      </c>
      <c r="P4" s="14" t="s">
        <v>23</v>
      </c>
      <c r="Q4" s="15"/>
      <c r="R4" s="15"/>
      <c r="S4" s="15"/>
      <c r="T4" s="15"/>
      <c r="U4" s="15"/>
      <c r="V4" s="15"/>
      <c r="W4" s="15"/>
      <c r="X4" s="15"/>
      <c r="Y4" s="15"/>
      <c r="Z4" s="15"/>
      <c r="AA4" s="15"/>
      <c r="AB4" s="15"/>
    </row>
    <row r="5">
      <c r="A5" s="5">
        <v>4.0</v>
      </c>
      <c r="B5" s="16" t="s">
        <v>28</v>
      </c>
      <c r="C5" s="7"/>
      <c r="D5" s="7"/>
      <c r="E5" s="6" t="s">
        <v>29</v>
      </c>
      <c r="F5" s="6" t="s">
        <v>18</v>
      </c>
      <c r="G5" s="8" t="s">
        <v>19</v>
      </c>
      <c r="H5" s="6" t="s">
        <v>30</v>
      </c>
      <c r="I5" s="7"/>
      <c r="J5" s="7"/>
      <c r="K5" s="9"/>
      <c r="L5" s="10">
        <v>45656.0</v>
      </c>
      <c r="M5" s="11">
        <v>45672.0</v>
      </c>
      <c r="P5" s="14" t="s">
        <v>23</v>
      </c>
      <c r="Q5" s="15"/>
      <c r="R5" s="15"/>
      <c r="S5" s="15"/>
      <c r="T5" s="15"/>
      <c r="U5" s="15"/>
      <c r="V5" s="15"/>
      <c r="W5" s="15"/>
      <c r="X5" s="15"/>
      <c r="Y5" s="15"/>
      <c r="Z5" s="15"/>
      <c r="AA5" s="15"/>
      <c r="AB5" s="15"/>
    </row>
    <row r="6">
      <c r="A6" s="5">
        <v>5.0</v>
      </c>
      <c r="B6" s="6" t="s">
        <v>31</v>
      </c>
      <c r="C6" s="7"/>
      <c r="D6" s="7"/>
      <c r="E6" s="6" t="s">
        <v>32</v>
      </c>
      <c r="F6" s="6" t="s">
        <v>18</v>
      </c>
      <c r="G6" s="8" t="s">
        <v>19</v>
      </c>
      <c r="H6" s="6" t="s">
        <v>30</v>
      </c>
      <c r="I6" s="7"/>
      <c r="J6" s="7"/>
      <c r="K6" s="9"/>
      <c r="L6" s="10">
        <v>45656.0</v>
      </c>
      <c r="M6" s="11">
        <v>45672.0</v>
      </c>
      <c r="P6" s="14" t="s">
        <v>23</v>
      </c>
      <c r="Q6" s="15"/>
      <c r="R6" s="15"/>
      <c r="S6" s="15"/>
      <c r="T6" s="15"/>
      <c r="U6" s="15"/>
      <c r="V6" s="15"/>
      <c r="W6" s="15"/>
      <c r="X6" s="15"/>
      <c r="Y6" s="15"/>
      <c r="Z6" s="15"/>
      <c r="AA6" s="15"/>
      <c r="AB6" s="15"/>
    </row>
    <row r="7">
      <c r="A7" s="7"/>
      <c r="B7" s="7"/>
      <c r="C7" s="7"/>
      <c r="D7" s="7"/>
      <c r="E7" s="7"/>
      <c r="F7" s="7"/>
      <c r="G7" s="7"/>
      <c r="H7" s="7"/>
      <c r="I7" s="7"/>
      <c r="J7" s="7"/>
      <c r="K7" s="7"/>
      <c r="L7" s="7"/>
      <c r="M7" s="7"/>
      <c r="N7" s="7"/>
      <c r="O7" s="7"/>
    </row>
    <row r="8">
      <c r="A8" s="7"/>
      <c r="B8" s="7"/>
      <c r="C8" s="7"/>
      <c r="D8" s="7"/>
      <c r="E8" s="7"/>
      <c r="F8" s="7"/>
      <c r="G8" s="7"/>
      <c r="H8" s="7"/>
      <c r="I8" s="7"/>
      <c r="J8" s="7"/>
      <c r="K8" s="7"/>
      <c r="L8" s="7"/>
      <c r="M8" s="7"/>
      <c r="N8" s="7"/>
      <c r="O8" s="7"/>
    </row>
    <row r="9">
      <c r="A9" s="7"/>
      <c r="B9" s="7"/>
      <c r="C9" s="7"/>
      <c r="D9" s="7"/>
      <c r="E9" s="7"/>
      <c r="F9" s="7"/>
      <c r="G9" s="7"/>
      <c r="H9" s="7"/>
      <c r="I9" s="7"/>
      <c r="J9" s="7"/>
      <c r="K9" s="7"/>
      <c r="L9" s="7"/>
      <c r="M9" s="7"/>
      <c r="N9" s="7"/>
      <c r="O9" s="7"/>
    </row>
  </sheetData>
  <mergeCells count="2">
    <mergeCell ref="N2:N6"/>
    <mergeCell ref="O2:O6"/>
  </mergeCells>
  <dataValidations>
    <dataValidation type="list" allowBlank="1" showErrorMessage="1" sqref="P1:P6">
      <formula1>"Released,Ongoing,pending"</formula1>
    </dataValidation>
  </dataValidations>
  <hyperlinks>
    <hyperlink r:id="rId1" ref="O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6.38"/>
    <col customWidth="1" min="3" max="3" width="18.75"/>
    <col customWidth="1" min="4" max="4" width="13.5"/>
    <col customWidth="1" min="5" max="5" width="16.5"/>
    <col customWidth="1" min="6" max="6" width="18.13"/>
    <col customWidth="1" min="7" max="7" width="25.38"/>
    <col customWidth="1" min="8" max="9" width="40.63"/>
    <col customWidth="1" min="10" max="10" width="15.25"/>
    <col customWidth="1" min="12" max="12" width="17.0"/>
    <col customWidth="1" min="13" max="13" width="13.88"/>
    <col customWidth="1" min="14" max="14" width="21.38"/>
    <col customWidth="1" min="15" max="15" width="24.75"/>
    <col customWidth="1" min="16" max="16" width="19.5"/>
    <col customWidth="1" min="17" max="17" width="22.0"/>
  </cols>
  <sheetData>
    <row r="1">
      <c r="A1" s="1" t="s">
        <v>0</v>
      </c>
      <c r="B1" s="1" t="s">
        <v>1</v>
      </c>
      <c r="C1" s="1" t="s">
        <v>2</v>
      </c>
      <c r="D1" s="1" t="s">
        <v>3</v>
      </c>
      <c r="E1" s="1" t="s">
        <v>4</v>
      </c>
      <c r="F1" s="2" t="s">
        <v>33</v>
      </c>
      <c r="G1" s="1" t="s">
        <v>5</v>
      </c>
      <c r="H1" s="1" t="s">
        <v>6</v>
      </c>
      <c r="I1" s="17" t="s">
        <v>34</v>
      </c>
      <c r="J1" s="1" t="s">
        <v>7</v>
      </c>
      <c r="K1" s="2" t="s">
        <v>35</v>
      </c>
      <c r="L1" s="1" t="s">
        <v>9</v>
      </c>
      <c r="M1" s="2" t="s">
        <v>36</v>
      </c>
      <c r="N1" s="1" t="s">
        <v>11</v>
      </c>
      <c r="O1" s="2" t="s">
        <v>12</v>
      </c>
      <c r="P1" s="1" t="s">
        <v>13</v>
      </c>
      <c r="Q1" s="1" t="s">
        <v>14</v>
      </c>
      <c r="R1" s="18" t="s">
        <v>15</v>
      </c>
    </row>
    <row r="2">
      <c r="A2" s="19">
        <f t="shared" ref="A2:A40" si="1">ROW(A2)-1</f>
        <v>1</v>
      </c>
      <c r="B2" s="7" t="s">
        <v>37</v>
      </c>
      <c r="C2" s="20">
        <v>3.82532353E8</v>
      </c>
      <c r="D2" s="7" t="s">
        <v>38</v>
      </c>
      <c r="E2" s="7" t="s">
        <v>39</v>
      </c>
      <c r="F2" s="7"/>
      <c r="G2" s="7" t="s">
        <v>18</v>
      </c>
      <c r="H2" s="21" t="s">
        <v>40</v>
      </c>
      <c r="J2" s="7" t="s">
        <v>41</v>
      </c>
      <c r="K2" s="7"/>
      <c r="L2" s="22">
        <v>45803.0</v>
      </c>
      <c r="M2" s="23" t="s">
        <v>42</v>
      </c>
      <c r="N2" s="7"/>
      <c r="O2" s="22">
        <v>45827.0</v>
      </c>
      <c r="P2" s="24">
        <v>45817.0</v>
      </c>
      <c r="Q2" s="7"/>
      <c r="R2" s="21" t="s">
        <v>23</v>
      </c>
    </row>
    <row r="3">
      <c r="A3" s="19">
        <f t="shared" si="1"/>
        <v>2</v>
      </c>
      <c r="B3" s="7" t="s">
        <v>43</v>
      </c>
      <c r="C3" s="20">
        <v>3.82532354E8</v>
      </c>
      <c r="D3" s="7" t="s">
        <v>38</v>
      </c>
      <c r="E3" s="7" t="s">
        <v>44</v>
      </c>
      <c r="F3" s="7"/>
      <c r="G3" s="7" t="s">
        <v>18</v>
      </c>
      <c r="H3" s="21" t="s">
        <v>40</v>
      </c>
      <c r="I3" s="7"/>
      <c r="J3" s="7" t="s">
        <v>41</v>
      </c>
      <c r="K3" s="7"/>
      <c r="L3" s="22">
        <v>45803.0</v>
      </c>
      <c r="N3" s="7"/>
      <c r="O3" s="22">
        <v>45827.0</v>
      </c>
      <c r="P3" s="24">
        <v>45817.0</v>
      </c>
      <c r="Q3" s="7"/>
      <c r="R3" s="21" t="s">
        <v>23</v>
      </c>
    </row>
    <row r="4">
      <c r="A4" s="19">
        <f t="shared" si="1"/>
        <v>3</v>
      </c>
      <c r="B4" s="7" t="s">
        <v>45</v>
      </c>
      <c r="C4" s="20">
        <v>3.82532355E8</v>
      </c>
      <c r="D4" s="7" t="s">
        <v>38</v>
      </c>
      <c r="E4" s="7" t="s">
        <v>46</v>
      </c>
      <c r="F4" s="7"/>
      <c r="G4" s="7" t="s">
        <v>18</v>
      </c>
      <c r="H4" s="21" t="s">
        <v>40</v>
      </c>
      <c r="I4" s="7"/>
      <c r="J4" s="7" t="s">
        <v>41</v>
      </c>
      <c r="K4" s="7"/>
      <c r="L4" s="22">
        <v>45803.0</v>
      </c>
      <c r="N4" s="7"/>
      <c r="O4" s="22">
        <v>45827.0</v>
      </c>
      <c r="P4" s="24">
        <v>45817.0</v>
      </c>
      <c r="Q4" s="7"/>
      <c r="R4" s="21" t="s">
        <v>23</v>
      </c>
    </row>
    <row r="5">
      <c r="A5" s="19">
        <f t="shared" si="1"/>
        <v>4</v>
      </c>
      <c r="B5" s="7" t="s">
        <v>47</v>
      </c>
      <c r="C5" s="20">
        <v>3.82532356E8</v>
      </c>
      <c r="D5" s="7" t="s">
        <v>38</v>
      </c>
      <c r="E5" s="7" t="s">
        <v>48</v>
      </c>
      <c r="F5" s="7"/>
      <c r="G5" s="7" t="s">
        <v>18</v>
      </c>
      <c r="H5" s="21" t="s">
        <v>40</v>
      </c>
      <c r="I5" s="7"/>
      <c r="J5" s="7" t="s">
        <v>41</v>
      </c>
      <c r="K5" s="7"/>
      <c r="L5" s="22">
        <v>45803.0</v>
      </c>
      <c r="N5" s="7"/>
      <c r="O5" s="22">
        <v>45827.0</v>
      </c>
      <c r="P5" s="24">
        <v>45817.0</v>
      </c>
      <c r="Q5" s="7"/>
      <c r="R5" s="21" t="s">
        <v>23</v>
      </c>
    </row>
    <row r="6">
      <c r="A6" s="19">
        <f t="shared" si="1"/>
        <v>5</v>
      </c>
      <c r="B6" s="7" t="s">
        <v>49</v>
      </c>
      <c r="C6" s="20">
        <v>3.82532357E8</v>
      </c>
      <c r="D6" s="7" t="s">
        <v>38</v>
      </c>
      <c r="E6" s="25" t="s">
        <v>50</v>
      </c>
      <c r="F6" s="7"/>
      <c r="G6" s="7" t="s">
        <v>18</v>
      </c>
      <c r="H6" s="21" t="s">
        <v>40</v>
      </c>
      <c r="I6" s="7"/>
      <c r="J6" s="7" t="s">
        <v>41</v>
      </c>
      <c r="K6" s="7"/>
      <c r="L6" s="22">
        <v>45803.0</v>
      </c>
      <c r="N6" s="7"/>
      <c r="O6" s="22">
        <v>45827.0</v>
      </c>
      <c r="P6" s="24">
        <v>45817.0</v>
      </c>
      <c r="Q6" s="7"/>
      <c r="R6" s="21" t="s">
        <v>23</v>
      </c>
    </row>
    <row r="7">
      <c r="A7" s="19">
        <f t="shared" si="1"/>
        <v>6</v>
      </c>
      <c r="B7" s="7" t="s">
        <v>51</v>
      </c>
      <c r="C7" s="20">
        <v>3.82532358E8</v>
      </c>
      <c r="D7" s="7" t="s">
        <v>38</v>
      </c>
      <c r="E7" s="7" t="s">
        <v>52</v>
      </c>
      <c r="F7" s="7"/>
      <c r="G7" s="7" t="s">
        <v>18</v>
      </c>
      <c r="H7" s="21" t="s">
        <v>40</v>
      </c>
      <c r="I7" s="7"/>
      <c r="J7" s="7" t="s">
        <v>41</v>
      </c>
      <c r="K7" s="7"/>
      <c r="L7" s="22">
        <v>45803.0</v>
      </c>
      <c r="N7" s="7"/>
      <c r="O7" s="22">
        <v>45827.0</v>
      </c>
      <c r="P7" s="24">
        <v>45817.0</v>
      </c>
      <c r="Q7" s="7"/>
      <c r="R7" s="21" t="s">
        <v>23</v>
      </c>
    </row>
    <row r="8">
      <c r="A8" s="19">
        <f t="shared" si="1"/>
        <v>7</v>
      </c>
      <c r="B8" s="7" t="s">
        <v>53</v>
      </c>
      <c r="C8" s="20">
        <v>3.82532359E8</v>
      </c>
      <c r="D8" s="7" t="s">
        <v>38</v>
      </c>
      <c r="E8" s="7" t="s">
        <v>54</v>
      </c>
      <c r="F8" s="7"/>
      <c r="G8" s="7" t="s">
        <v>18</v>
      </c>
      <c r="H8" s="21" t="s">
        <v>40</v>
      </c>
      <c r="I8" s="7"/>
      <c r="J8" s="7" t="s">
        <v>41</v>
      </c>
      <c r="K8" s="7"/>
      <c r="L8" s="22">
        <v>45803.0</v>
      </c>
      <c r="N8" s="7"/>
      <c r="O8" s="22">
        <v>45827.0</v>
      </c>
      <c r="P8" s="24">
        <v>45817.0</v>
      </c>
      <c r="Q8" s="7"/>
      <c r="R8" s="21" t="s">
        <v>23</v>
      </c>
    </row>
    <row r="9">
      <c r="A9" s="19">
        <f t="shared" si="1"/>
        <v>8</v>
      </c>
      <c r="B9" s="7" t="s">
        <v>55</v>
      </c>
      <c r="C9" s="20">
        <v>3.8253236E8</v>
      </c>
      <c r="D9" s="7" t="s">
        <v>38</v>
      </c>
      <c r="E9" s="7" t="s">
        <v>56</v>
      </c>
      <c r="F9" s="7"/>
      <c r="G9" s="7" t="s">
        <v>18</v>
      </c>
      <c r="H9" s="21" t="s">
        <v>40</v>
      </c>
      <c r="I9" s="7"/>
      <c r="J9" s="7" t="s">
        <v>41</v>
      </c>
      <c r="K9" s="7"/>
      <c r="L9" s="22">
        <v>45803.0</v>
      </c>
      <c r="N9" s="7"/>
      <c r="O9" s="22">
        <v>45827.0</v>
      </c>
      <c r="P9" s="24">
        <v>45817.0</v>
      </c>
      <c r="Q9" s="7"/>
      <c r="R9" s="21" t="s">
        <v>23</v>
      </c>
    </row>
    <row r="10">
      <c r="A10" s="19">
        <f t="shared" si="1"/>
        <v>9</v>
      </c>
      <c r="B10" s="7" t="s">
        <v>57</v>
      </c>
      <c r="C10" s="20">
        <v>3.82532361E8</v>
      </c>
      <c r="D10" s="7" t="s">
        <v>38</v>
      </c>
      <c r="E10" s="7" t="s">
        <v>58</v>
      </c>
      <c r="F10" s="7"/>
      <c r="G10" s="7" t="s">
        <v>18</v>
      </c>
      <c r="H10" s="21" t="s">
        <v>40</v>
      </c>
      <c r="I10" s="7"/>
      <c r="J10" s="7" t="s">
        <v>41</v>
      </c>
      <c r="K10" s="7"/>
      <c r="L10" s="22">
        <v>45803.0</v>
      </c>
      <c r="N10" s="7"/>
      <c r="O10" s="22">
        <v>45827.0</v>
      </c>
      <c r="P10" s="24">
        <v>45817.0</v>
      </c>
      <c r="Q10" s="7"/>
      <c r="R10" s="21" t="s">
        <v>23</v>
      </c>
    </row>
    <row r="11">
      <c r="A11" s="19">
        <f t="shared" si="1"/>
        <v>10</v>
      </c>
      <c r="B11" s="7" t="s">
        <v>59</v>
      </c>
      <c r="C11" s="20">
        <v>3.82532362E8</v>
      </c>
      <c r="D11" s="7" t="s">
        <v>38</v>
      </c>
      <c r="E11" s="7" t="s">
        <v>60</v>
      </c>
      <c r="F11" s="7"/>
      <c r="G11" s="7" t="s">
        <v>18</v>
      </c>
      <c r="H11" s="21" t="s">
        <v>40</v>
      </c>
      <c r="I11" s="7"/>
      <c r="J11" s="7" t="s">
        <v>41</v>
      </c>
      <c r="K11" s="7"/>
      <c r="L11" s="22">
        <v>45803.0</v>
      </c>
      <c r="N11" s="7"/>
      <c r="O11" s="22">
        <v>45827.0</v>
      </c>
      <c r="P11" s="24">
        <v>45817.0</v>
      </c>
      <c r="Q11" s="7"/>
      <c r="R11" s="21" t="s">
        <v>23</v>
      </c>
    </row>
    <row r="12">
      <c r="A12" s="19">
        <f t="shared" si="1"/>
        <v>11</v>
      </c>
      <c r="B12" s="7" t="s">
        <v>61</v>
      </c>
      <c r="C12" s="20">
        <v>3.82532363E8</v>
      </c>
      <c r="D12" s="7" t="s">
        <v>38</v>
      </c>
      <c r="E12" s="7" t="s">
        <v>62</v>
      </c>
      <c r="F12" s="7"/>
      <c r="G12" s="7" t="s">
        <v>18</v>
      </c>
      <c r="H12" s="21" t="s">
        <v>40</v>
      </c>
      <c r="I12" s="7"/>
      <c r="J12" s="7" t="s">
        <v>41</v>
      </c>
      <c r="K12" s="7"/>
      <c r="L12" s="22">
        <v>45803.0</v>
      </c>
      <c r="N12" s="7"/>
      <c r="O12" s="22">
        <v>45827.0</v>
      </c>
      <c r="P12" s="24">
        <v>45817.0</v>
      </c>
      <c r="Q12" s="7"/>
      <c r="R12" s="21" t="s">
        <v>23</v>
      </c>
    </row>
    <row r="13">
      <c r="A13" s="19">
        <f t="shared" si="1"/>
        <v>12</v>
      </c>
      <c r="B13" s="7" t="s">
        <v>63</v>
      </c>
      <c r="C13" s="20">
        <v>3.82532364E8</v>
      </c>
      <c r="D13" s="7" t="s">
        <v>38</v>
      </c>
      <c r="E13" s="7" t="s">
        <v>64</v>
      </c>
      <c r="F13" s="7"/>
      <c r="G13" s="7" t="s">
        <v>18</v>
      </c>
      <c r="H13" s="21" t="s">
        <v>40</v>
      </c>
      <c r="I13" s="7"/>
      <c r="J13" s="7" t="s">
        <v>41</v>
      </c>
      <c r="K13" s="7"/>
      <c r="L13" s="22">
        <v>45803.0</v>
      </c>
      <c r="N13" s="7"/>
      <c r="O13" s="22">
        <v>45827.0</v>
      </c>
      <c r="P13" s="24">
        <v>45817.0</v>
      </c>
      <c r="Q13" s="7"/>
      <c r="R13" s="21" t="s">
        <v>23</v>
      </c>
    </row>
    <row r="14">
      <c r="A14" s="19">
        <f t="shared" si="1"/>
        <v>13</v>
      </c>
      <c r="B14" s="7" t="s">
        <v>65</v>
      </c>
      <c r="C14" s="20">
        <v>3.82532365E8</v>
      </c>
      <c r="D14" s="7" t="s">
        <v>38</v>
      </c>
      <c r="E14" s="7" t="s">
        <v>66</v>
      </c>
      <c r="F14" s="7"/>
      <c r="G14" s="7" t="s">
        <v>18</v>
      </c>
      <c r="H14" s="21" t="s">
        <v>40</v>
      </c>
      <c r="I14" s="7"/>
      <c r="J14" s="7" t="s">
        <v>41</v>
      </c>
      <c r="K14" s="7"/>
      <c r="L14" s="22">
        <v>45803.0</v>
      </c>
      <c r="N14" s="7"/>
      <c r="O14" s="22">
        <v>45827.0</v>
      </c>
      <c r="P14" s="24">
        <v>45817.0</v>
      </c>
      <c r="Q14" s="7"/>
      <c r="R14" s="21" t="s">
        <v>23</v>
      </c>
    </row>
    <row r="15">
      <c r="A15" s="19">
        <f t="shared" si="1"/>
        <v>14</v>
      </c>
      <c r="B15" s="7" t="s">
        <v>67</v>
      </c>
      <c r="C15" s="20">
        <v>3.82532366E8</v>
      </c>
      <c r="D15" s="7" t="s">
        <v>38</v>
      </c>
      <c r="E15" s="7" t="s">
        <v>68</v>
      </c>
      <c r="F15" s="7"/>
      <c r="G15" s="7" t="s">
        <v>18</v>
      </c>
      <c r="H15" s="21" t="s">
        <v>40</v>
      </c>
      <c r="I15" s="7"/>
      <c r="J15" s="7" t="s">
        <v>41</v>
      </c>
      <c r="K15" s="7"/>
      <c r="L15" s="22">
        <v>45803.0</v>
      </c>
      <c r="N15" s="7"/>
      <c r="O15" s="22">
        <v>45827.0</v>
      </c>
      <c r="P15" s="24">
        <v>45817.0</v>
      </c>
      <c r="Q15" s="7"/>
      <c r="R15" s="21" t="s">
        <v>23</v>
      </c>
    </row>
    <row r="16">
      <c r="A16" s="19">
        <f t="shared" si="1"/>
        <v>15</v>
      </c>
      <c r="B16" s="7" t="s">
        <v>69</v>
      </c>
      <c r="C16" s="20">
        <v>3.82532367E8</v>
      </c>
      <c r="D16" s="7" t="s">
        <v>38</v>
      </c>
      <c r="E16" s="7" t="s">
        <v>70</v>
      </c>
      <c r="F16" s="7"/>
      <c r="G16" s="7" t="s">
        <v>18</v>
      </c>
      <c r="H16" s="21" t="s">
        <v>40</v>
      </c>
      <c r="I16" s="7"/>
      <c r="J16" s="7" t="s">
        <v>41</v>
      </c>
      <c r="K16" s="7"/>
      <c r="L16" s="22">
        <v>45803.0</v>
      </c>
      <c r="N16" s="7"/>
      <c r="O16" s="22">
        <v>45827.0</v>
      </c>
      <c r="P16" s="24">
        <v>45817.0</v>
      </c>
      <c r="Q16" s="7"/>
      <c r="R16" s="21" t="s">
        <v>23</v>
      </c>
    </row>
    <row r="17">
      <c r="A17" s="19">
        <f t="shared" si="1"/>
        <v>16</v>
      </c>
      <c r="B17" s="7" t="s">
        <v>71</v>
      </c>
      <c r="C17" s="20">
        <v>3.82532368E8</v>
      </c>
      <c r="D17" s="7" t="s">
        <v>38</v>
      </c>
      <c r="E17" s="7" t="s">
        <v>72</v>
      </c>
      <c r="F17" s="7"/>
      <c r="G17" s="7" t="s">
        <v>18</v>
      </c>
      <c r="H17" s="21" t="s">
        <v>40</v>
      </c>
      <c r="I17" s="7"/>
      <c r="J17" s="7" t="s">
        <v>41</v>
      </c>
      <c r="K17" s="7"/>
      <c r="L17" s="22">
        <v>45803.0</v>
      </c>
      <c r="N17" s="7"/>
      <c r="O17" s="22">
        <v>45827.0</v>
      </c>
      <c r="P17" s="24">
        <v>45817.0</v>
      </c>
      <c r="Q17" s="7"/>
      <c r="R17" s="21" t="s">
        <v>23</v>
      </c>
    </row>
    <row r="18">
      <c r="A18" s="19">
        <f t="shared" si="1"/>
        <v>17</v>
      </c>
      <c r="B18" s="7" t="s">
        <v>73</v>
      </c>
      <c r="C18" s="20">
        <v>3.82532369E8</v>
      </c>
      <c r="D18" s="7" t="s">
        <v>38</v>
      </c>
      <c r="E18" s="7" t="s">
        <v>74</v>
      </c>
      <c r="F18" s="7"/>
      <c r="G18" s="7" t="s">
        <v>18</v>
      </c>
      <c r="H18" s="21" t="s">
        <v>40</v>
      </c>
      <c r="I18" s="7"/>
      <c r="J18" s="7" t="s">
        <v>41</v>
      </c>
      <c r="K18" s="7"/>
      <c r="L18" s="22">
        <v>45803.0</v>
      </c>
      <c r="N18" s="7"/>
      <c r="O18" s="22">
        <v>45827.0</v>
      </c>
      <c r="P18" s="24">
        <v>45817.0</v>
      </c>
      <c r="Q18" s="7"/>
      <c r="R18" s="21" t="s">
        <v>23</v>
      </c>
    </row>
    <row r="19">
      <c r="A19" s="19">
        <f t="shared" si="1"/>
        <v>18</v>
      </c>
      <c r="B19" s="7" t="s">
        <v>75</v>
      </c>
      <c r="C19" s="20">
        <v>3.8253237E8</v>
      </c>
      <c r="D19" s="7" t="s">
        <v>38</v>
      </c>
      <c r="E19" s="7" t="s">
        <v>76</v>
      </c>
      <c r="F19" s="7"/>
      <c r="G19" s="7" t="s">
        <v>18</v>
      </c>
      <c r="H19" s="21" t="s">
        <v>40</v>
      </c>
      <c r="I19" s="7"/>
      <c r="J19" s="7" t="s">
        <v>41</v>
      </c>
      <c r="K19" s="7"/>
      <c r="L19" s="22">
        <v>45803.0</v>
      </c>
      <c r="N19" s="7"/>
      <c r="O19" s="22">
        <v>45827.0</v>
      </c>
      <c r="P19" s="24">
        <v>45817.0</v>
      </c>
      <c r="Q19" s="7"/>
      <c r="R19" s="21" t="s">
        <v>23</v>
      </c>
    </row>
    <row r="20">
      <c r="A20" s="19">
        <f t="shared" si="1"/>
        <v>19</v>
      </c>
      <c r="B20" s="7" t="s">
        <v>77</v>
      </c>
      <c r="C20" s="20">
        <v>3.82532371E8</v>
      </c>
      <c r="D20" s="7" t="s">
        <v>38</v>
      </c>
      <c r="E20" s="7" t="s">
        <v>78</v>
      </c>
      <c r="F20" s="7"/>
      <c r="G20" s="7" t="s">
        <v>18</v>
      </c>
      <c r="H20" s="21" t="s">
        <v>40</v>
      </c>
      <c r="I20" s="7"/>
      <c r="J20" s="7" t="s">
        <v>41</v>
      </c>
      <c r="K20" s="7"/>
      <c r="L20" s="22">
        <v>45803.0</v>
      </c>
      <c r="N20" s="7"/>
      <c r="O20" s="22">
        <v>45827.0</v>
      </c>
      <c r="P20" s="24">
        <v>45817.0</v>
      </c>
      <c r="Q20" s="7"/>
      <c r="R20" s="21" t="s">
        <v>23</v>
      </c>
    </row>
    <row r="21">
      <c r="A21" s="19">
        <f t="shared" si="1"/>
        <v>20</v>
      </c>
      <c r="B21" s="7" t="s">
        <v>79</v>
      </c>
      <c r="C21" s="20">
        <v>3.82532372E8</v>
      </c>
      <c r="D21" s="7" t="s">
        <v>38</v>
      </c>
      <c r="E21" s="7" t="s">
        <v>80</v>
      </c>
      <c r="F21" s="7"/>
      <c r="G21" s="7" t="s">
        <v>18</v>
      </c>
      <c r="H21" s="21" t="s">
        <v>40</v>
      </c>
      <c r="I21" s="7"/>
      <c r="J21" s="7" t="s">
        <v>41</v>
      </c>
      <c r="K21" s="7"/>
      <c r="L21" s="22">
        <v>45803.0</v>
      </c>
      <c r="N21" s="7"/>
      <c r="O21" s="22">
        <v>45827.0</v>
      </c>
      <c r="P21" s="24">
        <v>45817.0</v>
      </c>
      <c r="Q21" s="7"/>
      <c r="R21" s="21" t="s">
        <v>23</v>
      </c>
    </row>
    <row r="22">
      <c r="A22" s="19">
        <f t="shared" si="1"/>
        <v>21</v>
      </c>
      <c r="B22" s="7" t="s">
        <v>81</v>
      </c>
      <c r="C22" s="20">
        <v>3.82532373E8</v>
      </c>
      <c r="D22" s="7" t="s">
        <v>38</v>
      </c>
      <c r="E22" s="7" t="s">
        <v>82</v>
      </c>
      <c r="F22" s="7"/>
      <c r="G22" s="7" t="s">
        <v>18</v>
      </c>
      <c r="H22" s="21" t="s">
        <v>40</v>
      </c>
      <c r="I22" s="7"/>
      <c r="J22" s="7" t="s">
        <v>41</v>
      </c>
      <c r="K22" s="7"/>
      <c r="L22" s="22">
        <v>45803.0</v>
      </c>
      <c r="N22" s="7"/>
      <c r="O22" s="22">
        <v>45827.0</v>
      </c>
      <c r="P22" s="24">
        <v>45817.0</v>
      </c>
      <c r="Q22" s="7"/>
      <c r="R22" s="21" t="s">
        <v>23</v>
      </c>
    </row>
    <row r="23">
      <c r="A23" s="19">
        <f t="shared" si="1"/>
        <v>22</v>
      </c>
      <c r="B23" s="7" t="s">
        <v>83</v>
      </c>
      <c r="C23" s="20">
        <v>3.82532374E8</v>
      </c>
      <c r="D23" s="7" t="s">
        <v>38</v>
      </c>
      <c r="E23" s="7" t="s">
        <v>84</v>
      </c>
      <c r="F23" s="7"/>
      <c r="G23" s="7" t="s">
        <v>18</v>
      </c>
      <c r="H23" s="21" t="s">
        <v>40</v>
      </c>
      <c r="I23" s="7"/>
      <c r="J23" s="7" t="s">
        <v>41</v>
      </c>
      <c r="K23" s="7"/>
      <c r="L23" s="22">
        <v>45803.0</v>
      </c>
      <c r="N23" s="7"/>
      <c r="O23" s="22">
        <v>45827.0</v>
      </c>
      <c r="P23" s="24">
        <v>45817.0</v>
      </c>
      <c r="Q23" s="7"/>
      <c r="R23" s="21" t="s">
        <v>23</v>
      </c>
    </row>
    <row r="24">
      <c r="A24" s="19">
        <f t="shared" si="1"/>
        <v>23</v>
      </c>
      <c r="B24" s="7" t="s">
        <v>85</v>
      </c>
      <c r="C24" s="20">
        <v>3.82532375E8</v>
      </c>
      <c r="D24" s="7" t="s">
        <v>38</v>
      </c>
      <c r="E24" s="7" t="s">
        <v>86</v>
      </c>
      <c r="F24" s="7"/>
      <c r="G24" s="7" t="s">
        <v>18</v>
      </c>
      <c r="H24" s="21" t="s">
        <v>40</v>
      </c>
      <c r="I24" s="7"/>
      <c r="J24" s="7" t="s">
        <v>41</v>
      </c>
      <c r="K24" s="7"/>
      <c r="L24" s="22">
        <v>45803.0</v>
      </c>
      <c r="N24" s="7"/>
      <c r="O24" s="22">
        <v>45827.0</v>
      </c>
      <c r="P24" s="24">
        <v>45817.0</v>
      </c>
      <c r="Q24" s="7"/>
      <c r="R24" s="21" t="s">
        <v>23</v>
      </c>
    </row>
    <row r="25">
      <c r="A25" s="19">
        <f t="shared" si="1"/>
        <v>24</v>
      </c>
      <c r="B25" s="7" t="s">
        <v>87</v>
      </c>
      <c r="C25" s="20">
        <v>3.82532376E8</v>
      </c>
      <c r="D25" s="7" t="s">
        <v>38</v>
      </c>
      <c r="E25" s="7" t="s">
        <v>88</v>
      </c>
      <c r="F25" s="7"/>
      <c r="G25" s="7" t="s">
        <v>18</v>
      </c>
      <c r="H25" s="21" t="s">
        <v>40</v>
      </c>
      <c r="I25" s="7"/>
      <c r="J25" s="7" t="s">
        <v>41</v>
      </c>
      <c r="K25" s="7"/>
      <c r="L25" s="22">
        <v>45803.0</v>
      </c>
      <c r="N25" s="7"/>
      <c r="O25" s="22">
        <v>45827.0</v>
      </c>
      <c r="P25" s="24">
        <v>45817.0</v>
      </c>
      <c r="Q25" s="7"/>
      <c r="R25" s="21" t="s">
        <v>23</v>
      </c>
    </row>
    <row r="26">
      <c r="A26" s="19">
        <f t="shared" si="1"/>
        <v>25</v>
      </c>
      <c r="B26" s="7" t="s">
        <v>89</v>
      </c>
      <c r="C26" s="20">
        <v>3.82532377E8</v>
      </c>
      <c r="D26" s="7" t="s">
        <v>38</v>
      </c>
      <c r="E26" s="7" t="s">
        <v>90</v>
      </c>
      <c r="F26" s="7"/>
      <c r="G26" s="7" t="s">
        <v>18</v>
      </c>
      <c r="H26" s="21" t="s">
        <v>40</v>
      </c>
      <c r="I26" s="7"/>
      <c r="J26" s="7" t="s">
        <v>41</v>
      </c>
      <c r="K26" s="7"/>
      <c r="L26" s="22">
        <v>45803.0</v>
      </c>
      <c r="N26" s="7"/>
      <c r="O26" s="22">
        <v>45827.0</v>
      </c>
      <c r="P26" s="24">
        <v>45817.0</v>
      </c>
      <c r="Q26" s="7"/>
      <c r="R26" s="21" t="s">
        <v>23</v>
      </c>
    </row>
    <row r="27">
      <c r="A27" s="19">
        <f t="shared" si="1"/>
        <v>26</v>
      </c>
      <c r="B27" s="7" t="s">
        <v>91</v>
      </c>
      <c r="C27" s="20">
        <v>3.82532378E8</v>
      </c>
      <c r="D27" s="7" t="s">
        <v>38</v>
      </c>
      <c r="E27" s="7" t="s">
        <v>92</v>
      </c>
      <c r="F27" s="7"/>
      <c r="G27" s="7" t="s">
        <v>18</v>
      </c>
      <c r="H27" s="21" t="s">
        <v>40</v>
      </c>
      <c r="I27" s="7"/>
      <c r="J27" s="7" t="s">
        <v>41</v>
      </c>
      <c r="K27" s="7"/>
      <c r="L27" s="22">
        <v>45803.0</v>
      </c>
      <c r="N27" s="7"/>
      <c r="O27" s="22">
        <v>45827.0</v>
      </c>
      <c r="P27" s="24">
        <v>45817.0</v>
      </c>
      <c r="Q27" s="7"/>
      <c r="R27" s="21" t="s">
        <v>23</v>
      </c>
    </row>
    <row r="28">
      <c r="A28" s="19">
        <f t="shared" si="1"/>
        <v>27</v>
      </c>
      <c r="B28" s="7" t="s">
        <v>93</v>
      </c>
      <c r="C28" s="20">
        <v>3.82532379E8</v>
      </c>
      <c r="D28" s="7" t="s">
        <v>38</v>
      </c>
      <c r="E28" s="7" t="s">
        <v>94</v>
      </c>
      <c r="F28" s="7"/>
      <c r="G28" s="7" t="s">
        <v>18</v>
      </c>
      <c r="H28" s="21" t="s">
        <v>40</v>
      </c>
      <c r="I28" s="7"/>
      <c r="J28" s="7" t="s">
        <v>41</v>
      </c>
      <c r="K28" s="7"/>
      <c r="L28" s="22">
        <v>45803.0</v>
      </c>
      <c r="N28" s="7"/>
      <c r="O28" s="22">
        <v>45827.0</v>
      </c>
      <c r="P28" s="24">
        <v>45817.0</v>
      </c>
      <c r="Q28" s="7"/>
      <c r="R28" s="21" t="s">
        <v>23</v>
      </c>
    </row>
    <row r="29">
      <c r="A29" s="19">
        <f t="shared" si="1"/>
        <v>28</v>
      </c>
      <c r="B29" s="7" t="s">
        <v>95</v>
      </c>
      <c r="C29" s="20">
        <v>3.8253238E8</v>
      </c>
      <c r="D29" s="7" t="s">
        <v>38</v>
      </c>
      <c r="E29" s="7" t="s">
        <v>96</v>
      </c>
      <c r="F29" s="7"/>
      <c r="G29" s="7" t="s">
        <v>18</v>
      </c>
      <c r="H29" s="21" t="s">
        <v>40</v>
      </c>
      <c r="I29" s="7"/>
      <c r="J29" s="7" t="s">
        <v>41</v>
      </c>
      <c r="K29" s="7"/>
      <c r="L29" s="22">
        <v>45803.0</v>
      </c>
      <c r="N29" s="7"/>
      <c r="O29" s="22">
        <v>45827.0</v>
      </c>
      <c r="P29" s="24">
        <v>45817.0</v>
      </c>
      <c r="Q29" s="7"/>
      <c r="R29" s="21" t="s">
        <v>23</v>
      </c>
    </row>
    <row r="30">
      <c r="A30" s="19">
        <f t="shared" si="1"/>
        <v>29</v>
      </c>
      <c r="B30" s="7" t="s">
        <v>97</v>
      </c>
      <c r="C30" s="20">
        <v>3.82532381E8</v>
      </c>
      <c r="D30" s="7" t="s">
        <v>38</v>
      </c>
      <c r="E30" s="7" t="s">
        <v>98</v>
      </c>
      <c r="F30" s="7"/>
      <c r="G30" s="7" t="s">
        <v>18</v>
      </c>
      <c r="H30" s="21" t="s">
        <v>40</v>
      </c>
      <c r="I30" s="7"/>
      <c r="J30" s="7" t="s">
        <v>41</v>
      </c>
      <c r="K30" s="7"/>
      <c r="L30" s="22">
        <v>45803.0</v>
      </c>
      <c r="N30" s="7"/>
      <c r="O30" s="22">
        <v>45827.0</v>
      </c>
      <c r="P30" s="24">
        <v>45817.0</v>
      </c>
      <c r="Q30" s="7"/>
      <c r="R30" s="21" t="s">
        <v>23</v>
      </c>
    </row>
    <row r="31">
      <c r="A31" s="19">
        <f t="shared" si="1"/>
        <v>30</v>
      </c>
      <c r="B31" s="7" t="s">
        <v>99</v>
      </c>
      <c r="C31" s="20">
        <v>3.82532382E8</v>
      </c>
      <c r="D31" s="7" t="s">
        <v>38</v>
      </c>
      <c r="E31" s="7" t="s">
        <v>100</v>
      </c>
      <c r="F31" s="7"/>
      <c r="G31" s="7" t="s">
        <v>18</v>
      </c>
      <c r="H31" s="21" t="s">
        <v>40</v>
      </c>
      <c r="I31" s="7"/>
      <c r="J31" s="7" t="s">
        <v>41</v>
      </c>
      <c r="K31" s="7"/>
      <c r="L31" s="22">
        <v>45803.0</v>
      </c>
      <c r="N31" s="7"/>
      <c r="O31" s="22">
        <v>45827.0</v>
      </c>
      <c r="P31" s="24">
        <v>45817.0</v>
      </c>
      <c r="Q31" s="7"/>
      <c r="R31" s="21" t="s">
        <v>23</v>
      </c>
    </row>
    <row r="32">
      <c r="A32" s="19">
        <f t="shared" si="1"/>
        <v>31</v>
      </c>
      <c r="B32" s="7" t="s">
        <v>101</v>
      </c>
      <c r="C32" s="20">
        <v>3.82532383E8</v>
      </c>
      <c r="D32" s="7" t="s">
        <v>38</v>
      </c>
      <c r="E32" s="7" t="s">
        <v>102</v>
      </c>
      <c r="F32" s="7"/>
      <c r="G32" s="7" t="s">
        <v>18</v>
      </c>
      <c r="H32" s="21" t="s">
        <v>40</v>
      </c>
      <c r="I32" s="7"/>
      <c r="J32" s="7" t="s">
        <v>41</v>
      </c>
      <c r="K32" s="7"/>
      <c r="L32" s="22">
        <v>45803.0</v>
      </c>
      <c r="N32" s="7"/>
      <c r="O32" s="22">
        <v>45827.0</v>
      </c>
      <c r="P32" s="24">
        <v>45817.0</v>
      </c>
      <c r="Q32" s="7"/>
      <c r="R32" s="21" t="s">
        <v>23</v>
      </c>
    </row>
    <row r="33">
      <c r="A33" s="19">
        <f t="shared" si="1"/>
        <v>32</v>
      </c>
      <c r="B33" s="7" t="s">
        <v>103</v>
      </c>
      <c r="C33" s="20">
        <v>3.82532384E8</v>
      </c>
      <c r="D33" s="7" t="s">
        <v>38</v>
      </c>
      <c r="E33" s="7" t="s">
        <v>104</v>
      </c>
      <c r="F33" s="7"/>
      <c r="G33" s="7" t="s">
        <v>18</v>
      </c>
      <c r="H33" s="21" t="s">
        <v>40</v>
      </c>
      <c r="I33" s="7"/>
      <c r="J33" s="7" t="s">
        <v>41</v>
      </c>
      <c r="K33" s="7"/>
      <c r="L33" s="22">
        <v>45803.0</v>
      </c>
      <c r="N33" s="7"/>
      <c r="O33" s="22">
        <v>45827.0</v>
      </c>
      <c r="P33" s="24">
        <v>45817.0</v>
      </c>
      <c r="Q33" s="7"/>
      <c r="R33" s="21" t="s">
        <v>23</v>
      </c>
    </row>
    <row r="34">
      <c r="A34" s="19">
        <f t="shared" si="1"/>
        <v>33</v>
      </c>
      <c r="B34" s="7" t="s">
        <v>105</v>
      </c>
      <c r="C34" s="20">
        <v>3.82532385E8</v>
      </c>
      <c r="D34" s="7" t="s">
        <v>38</v>
      </c>
      <c r="E34" s="7" t="s">
        <v>106</v>
      </c>
      <c r="F34" s="7"/>
      <c r="G34" s="7" t="s">
        <v>18</v>
      </c>
      <c r="H34" s="21" t="s">
        <v>40</v>
      </c>
      <c r="I34" s="7"/>
      <c r="J34" s="7" t="s">
        <v>41</v>
      </c>
      <c r="K34" s="7"/>
      <c r="L34" s="22">
        <v>45803.0</v>
      </c>
      <c r="N34" s="7"/>
      <c r="O34" s="22">
        <v>45827.0</v>
      </c>
      <c r="P34" s="24">
        <v>45817.0</v>
      </c>
      <c r="Q34" s="7"/>
      <c r="R34" s="21" t="s">
        <v>23</v>
      </c>
    </row>
    <row r="35">
      <c r="A35" s="19">
        <f t="shared" si="1"/>
        <v>34</v>
      </c>
      <c r="B35" s="7" t="s">
        <v>107</v>
      </c>
      <c r="C35" s="20">
        <v>3.82532386E8</v>
      </c>
      <c r="D35" s="7" t="s">
        <v>38</v>
      </c>
      <c r="E35" s="7" t="s">
        <v>108</v>
      </c>
      <c r="F35" s="7"/>
      <c r="G35" s="7" t="s">
        <v>18</v>
      </c>
      <c r="H35" s="21" t="s">
        <v>40</v>
      </c>
      <c r="I35" s="7"/>
      <c r="J35" s="7" t="s">
        <v>41</v>
      </c>
      <c r="K35" s="7"/>
      <c r="L35" s="22">
        <v>45803.0</v>
      </c>
      <c r="N35" s="7"/>
      <c r="O35" s="22">
        <v>45827.0</v>
      </c>
      <c r="P35" s="24">
        <v>45817.0</v>
      </c>
      <c r="Q35" s="7"/>
      <c r="R35" s="21" t="s">
        <v>23</v>
      </c>
    </row>
    <row r="36">
      <c r="A36" s="19">
        <f t="shared" si="1"/>
        <v>35</v>
      </c>
      <c r="B36" s="7" t="s">
        <v>109</v>
      </c>
      <c r="C36" s="20">
        <v>3.82534786E8</v>
      </c>
      <c r="D36" s="7"/>
      <c r="E36" s="7" t="s">
        <v>110</v>
      </c>
      <c r="F36" s="7" t="s">
        <v>111</v>
      </c>
      <c r="G36" s="7" t="s">
        <v>18</v>
      </c>
      <c r="H36" s="26" t="s">
        <v>112</v>
      </c>
      <c r="I36" s="7" t="s">
        <v>113</v>
      </c>
      <c r="J36" s="7" t="s">
        <v>41</v>
      </c>
      <c r="K36" s="7"/>
      <c r="L36" s="22">
        <v>45805.0</v>
      </c>
      <c r="N36" s="7"/>
      <c r="O36" s="22">
        <v>45829.0</v>
      </c>
      <c r="P36" s="22">
        <v>45826.0</v>
      </c>
      <c r="Q36" s="7"/>
      <c r="R36" s="21" t="s">
        <v>23</v>
      </c>
    </row>
    <row r="37">
      <c r="A37" s="19">
        <f t="shared" si="1"/>
        <v>36</v>
      </c>
      <c r="B37" s="7" t="s">
        <v>114</v>
      </c>
      <c r="C37" s="20">
        <v>3.82534787E8</v>
      </c>
      <c r="D37" s="7"/>
      <c r="E37" s="7" t="s">
        <v>115</v>
      </c>
      <c r="F37" s="7" t="s">
        <v>111</v>
      </c>
      <c r="G37" s="7" t="s">
        <v>18</v>
      </c>
      <c r="H37" s="26" t="s">
        <v>112</v>
      </c>
      <c r="I37" s="7" t="s">
        <v>113</v>
      </c>
      <c r="J37" s="7" t="s">
        <v>41</v>
      </c>
      <c r="K37" s="7"/>
      <c r="L37" s="22">
        <v>45805.0</v>
      </c>
      <c r="N37" s="7"/>
      <c r="O37" s="22">
        <v>45829.0</v>
      </c>
      <c r="P37" s="22">
        <v>45826.0</v>
      </c>
      <c r="Q37" s="7"/>
      <c r="R37" s="21" t="s">
        <v>23</v>
      </c>
    </row>
    <row r="38">
      <c r="A38" s="19">
        <f t="shared" si="1"/>
        <v>37</v>
      </c>
      <c r="B38" s="7" t="s">
        <v>116</v>
      </c>
      <c r="C38" s="20">
        <v>3.82534788E8</v>
      </c>
      <c r="D38" s="7"/>
      <c r="E38" s="7" t="s">
        <v>117</v>
      </c>
      <c r="F38" s="7" t="s">
        <v>118</v>
      </c>
      <c r="G38" s="7" t="s">
        <v>18</v>
      </c>
      <c r="H38" s="26" t="s">
        <v>112</v>
      </c>
      <c r="I38" s="7" t="s">
        <v>113</v>
      </c>
      <c r="J38" s="7" t="s">
        <v>41</v>
      </c>
      <c r="K38" s="7"/>
      <c r="L38" s="22">
        <v>45805.0</v>
      </c>
      <c r="N38" s="7"/>
      <c r="O38" s="22">
        <v>45829.0</v>
      </c>
      <c r="P38" s="22">
        <v>45826.0</v>
      </c>
      <c r="Q38" s="7"/>
      <c r="R38" s="21" t="s">
        <v>23</v>
      </c>
    </row>
    <row r="39">
      <c r="A39" s="19">
        <f t="shared" si="1"/>
        <v>38</v>
      </c>
      <c r="B39" s="7" t="s">
        <v>119</v>
      </c>
      <c r="C39" s="20">
        <v>3.82534789E8</v>
      </c>
      <c r="D39" s="7"/>
      <c r="E39" s="7" t="s">
        <v>120</v>
      </c>
      <c r="F39" s="7" t="s">
        <v>118</v>
      </c>
      <c r="G39" s="7" t="s">
        <v>18</v>
      </c>
      <c r="H39" s="26" t="s">
        <v>112</v>
      </c>
      <c r="I39" s="7" t="s">
        <v>113</v>
      </c>
      <c r="J39" s="7" t="s">
        <v>41</v>
      </c>
      <c r="K39" s="7"/>
      <c r="L39" s="22">
        <v>45805.0</v>
      </c>
      <c r="N39" s="7"/>
      <c r="O39" s="22">
        <v>45829.0</v>
      </c>
      <c r="P39" s="22">
        <v>45826.0</v>
      </c>
      <c r="Q39" s="7"/>
      <c r="R39" s="21" t="s">
        <v>23</v>
      </c>
    </row>
    <row r="40">
      <c r="A40" s="19">
        <f t="shared" si="1"/>
        <v>39</v>
      </c>
      <c r="B40" s="7" t="s">
        <v>121</v>
      </c>
      <c r="C40" s="20">
        <v>3.8253479E8</v>
      </c>
      <c r="D40" s="7"/>
      <c r="E40" s="7" t="s">
        <v>122</v>
      </c>
      <c r="F40" s="7" t="s">
        <v>111</v>
      </c>
      <c r="G40" s="7" t="s">
        <v>18</v>
      </c>
      <c r="H40" s="26" t="s">
        <v>112</v>
      </c>
      <c r="I40" s="7" t="s">
        <v>113</v>
      </c>
      <c r="J40" s="7" t="s">
        <v>41</v>
      </c>
      <c r="K40" s="7"/>
      <c r="L40" s="22">
        <v>45805.0</v>
      </c>
      <c r="N40" s="7"/>
      <c r="O40" s="22">
        <v>45829.0</v>
      </c>
      <c r="P40" s="22">
        <v>45826.0</v>
      </c>
      <c r="Q40" s="7"/>
      <c r="R40" s="21" t="s">
        <v>23</v>
      </c>
    </row>
    <row r="41">
      <c r="C41" s="27"/>
    </row>
    <row r="42">
      <c r="C42" s="27"/>
    </row>
    <row r="43">
      <c r="C43" s="27"/>
    </row>
    <row r="44">
      <c r="C44" s="27"/>
    </row>
    <row r="45">
      <c r="C45" s="27"/>
    </row>
    <row r="46">
      <c r="C46" s="27"/>
    </row>
    <row r="47">
      <c r="C47" s="27"/>
    </row>
    <row r="48">
      <c r="C48" s="27"/>
    </row>
    <row r="49">
      <c r="C49" s="27"/>
    </row>
    <row r="50">
      <c r="C50" s="27"/>
    </row>
    <row r="51">
      <c r="C51" s="27"/>
    </row>
    <row r="52">
      <c r="C52" s="27"/>
    </row>
    <row r="53">
      <c r="C53" s="27"/>
    </row>
    <row r="54">
      <c r="C54" s="27"/>
    </row>
    <row r="55">
      <c r="C55" s="27"/>
    </row>
    <row r="56">
      <c r="C56" s="27"/>
    </row>
    <row r="57">
      <c r="C57" s="27"/>
    </row>
    <row r="58">
      <c r="C58" s="27"/>
    </row>
    <row r="59">
      <c r="C59" s="27"/>
    </row>
    <row r="60">
      <c r="C60" s="27"/>
    </row>
    <row r="61">
      <c r="C61" s="27"/>
    </row>
    <row r="62">
      <c r="C62" s="27"/>
    </row>
    <row r="63">
      <c r="C63" s="27"/>
    </row>
    <row r="64">
      <c r="C64" s="27"/>
    </row>
    <row r="65">
      <c r="C65" s="27"/>
    </row>
    <row r="66">
      <c r="C66" s="27"/>
    </row>
    <row r="67">
      <c r="C67" s="27"/>
    </row>
    <row r="68">
      <c r="C68" s="27"/>
    </row>
    <row r="69">
      <c r="C69" s="27"/>
    </row>
    <row r="70">
      <c r="C70" s="27"/>
    </row>
    <row r="71">
      <c r="C71" s="27"/>
    </row>
    <row r="72">
      <c r="C72" s="27"/>
    </row>
    <row r="73">
      <c r="C73" s="27"/>
    </row>
    <row r="74">
      <c r="C74" s="27"/>
    </row>
    <row r="75">
      <c r="C75" s="27"/>
    </row>
    <row r="76">
      <c r="C76" s="27"/>
    </row>
    <row r="77">
      <c r="C77" s="27"/>
    </row>
    <row r="78">
      <c r="C78" s="27"/>
    </row>
    <row r="79">
      <c r="C79" s="27"/>
    </row>
    <row r="80">
      <c r="C80" s="27"/>
    </row>
    <row r="81">
      <c r="C81" s="27"/>
    </row>
    <row r="82">
      <c r="C82" s="27"/>
    </row>
    <row r="83">
      <c r="C83" s="27"/>
    </row>
    <row r="84">
      <c r="C84" s="27"/>
    </row>
    <row r="85">
      <c r="C85" s="27"/>
    </row>
    <row r="86">
      <c r="C86" s="27"/>
    </row>
    <row r="87">
      <c r="C87" s="27"/>
    </row>
    <row r="88">
      <c r="C88" s="27"/>
    </row>
    <row r="89">
      <c r="C89" s="27"/>
    </row>
    <row r="90">
      <c r="C90" s="27"/>
    </row>
    <row r="91">
      <c r="C91" s="27"/>
    </row>
    <row r="92">
      <c r="C92" s="27"/>
    </row>
    <row r="93">
      <c r="C93" s="27"/>
    </row>
    <row r="94">
      <c r="C94" s="27"/>
    </row>
    <row r="95">
      <c r="C95" s="27"/>
    </row>
    <row r="96">
      <c r="C96" s="27"/>
    </row>
    <row r="97">
      <c r="C97" s="27"/>
    </row>
    <row r="98">
      <c r="C98" s="27"/>
    </row>
    <row r="99">
      <c r="C99" s="27"/>
    </row>
    <row r="100">
      <c r="C100" s="27"/>
    </row>
    <row r="101">
      <c r="C101" s="27"/>
    </row>
    <row r="102">
      <c r="C102" s="27"/>
    </row>
    <row r="103">
      <c r="C103" s="27"/>
    </row>
    <row r="104">
      <c r="C104" s="27"/>
    </row>
    <row r="105">
      <c r="C105" s="27"/>
    </row>
    <row r="106">
      <c r="C106" s="27"/>
    </row>
    <row r="107">
      <c r="C107" s="27"/>
    </row>
    <row r="108">
      <c r="C108" s="27"/>
    </row>
    <row r="109">
      <c r="C109" s="27"/>
    </row>
    <row r="110">
      <c r="C110" s="27"/>
    </row>
    <row r="111">
      <c r="C111" s="27"/>
    </row>
    <row r="112">
      <c r="C112" s="27"/>
    </row>
    <row r="113">
      <c r="C113" s="27"/>
    </row>
    <row r="114">
      <c r="C114" s="27"/>
    </row>
    <row r="115">
      <c r="C115" s="27"/>
    </row>
    <row r="116">
      <c r="C116" s="27"/>
    </row>
    <row r="117">
      <c r="C117" s="27"/>
    </row>
    <row r="118">
      <c r="C118" s="27"/>
    </row>
    <row r="119">
      <c r="C119" s="27"/>
    </row>
    <row r="120">
      <c r="C120" s="27"/>
    </row>
    <row r="121">
      <c r="C121" s="27"/>
    </row>
    <row r="122">
      <c r="C122" s="27"/>
    </row>
    <row r="123">
      <c r="C123" s="27"/>
    </row>
    <row r="124">
      <c r="C124" s="27"/>
    </row>
    <row r="125">
      <c r="C125" s="27"/>
    </row>
    <row r="126">
      <c r="C126" s="27"/>
    </row>
    <row r="127">
      <c r="C127" s="27"/>
    </row>
    <row r="128">
      <c r="C128" s="27"/>
    </row>
    <row r="129">
      <c r="C129" s="27"/>
    </row>
    <row r="130">
      <c r="C130" s="27"/>
    </row>
    <row r="131">
      <c r="C131" s="27"/>
    </row>
    <row r="132">
      <c r="C132" s="27"/>
    </row>
    <row r="133">
      <c r="C133" s="27"/>
    </row>
    <row r="134">
      <c r="C134" s="27"/>
    </row>
    <row r="135">
      <c r="C135" s="27"/>
    </row>
    <row r="136">
      <c r="C136" s="27"/>
    </row>
    <row r="137">
      <c r="C137" s="27"/>
    </row>
    <row r="138">
      <c r="C138" s="27"/>
    </row>
    <row r="139">
      <c r="C139" s="27"/>
    </row>
    <row r="140">
      <c r="C140" s="27"/>
    </row>
    <row r="141">
      <c r="C141" s="27"/>
    </row>
    <row r="142">
      <c r="C142" s="27"/>
    </row>
    <row r="143">
      <c r="C143" s="27"/>
    </row>
    <row r="144">
      <c r="C144" s="27"/>
    </row>
    <row r="145">
      <c r="C145" s="27"/>
    </row>
    <row r="146">
      <c r="C146" s="27"/>
    </row>
    <row r="147">
      <c r="C147" s="27"/>
    </row>
    <row r="148">
      <c r="C148" s="27"/>
    </row>
    <row r="149">
      <c r="C149" s="27"/>
    </row>
    <row r="150">
      <c r="C150" s="27"/>
    </row>
    <row r="151">
      <c r="C151" s="27"/>
    </row>
    <row r="152">
      <c r="C152" s="27"/>
    </row>
    <row r="153">
      <c r="C153" s="27"/>
    </row>
    <row r="154">
      <c r="C154" s="27"/>
    </row>
    <row r="155">
      <c r="C155" s="27"/>
    </row>
    <row r="156">
      <c r="C156" s="27"/>
    </row>
    <row r="157">
      <c r="C157" s="27"/>
    </row>
    <row r="158">
      <c r="C158" s="27"/>
    </row>
    <row r="159">
      <c r="C159" s="27"/>
    </row>
    <row r="160">
      <c r="C160" s="27"/>
    </row>
    <row r="161">
      <c r="C161" s="27"/>
    </row>
    <row r="162">
      <c r="C162" s="27"/>
    </row>
    <row r="163">
      <c r="C163" s="27"/>
    </row>
    <row r="164">
      <c r="C164" s="27"/>
    </row>
    <row r="165">
      <c r="C165" s="27"/>
    </row>
    <row r="166">
      <c r="C166" s="27"/>
    </row>
    <row r="167">
      <c r="C167" s="27"/>
    </row>
    <row r="168">
      <c r="C168" s="27"/>
    </row>
    <row r="169">
      <c r="C169" s="27"/>
    </row>
    <row r="170">
      <c r="C170" s="27"/>
    </row>
    <row r="171">
      <c r="C171" s="27"/>
    </row>
    <row r="172">
      <c r="C172" s="27"/>
    </row>
    <row r="173">
      <c r="C173" s="27"/>
    </row>
    <row r="174">
      <c r="C174" s="27"/>
    </row>
    <row r="175">
      <c r="C175" s="27"/>
    </row>
    <row r="176">
      <c r="C176" s="27"/>
    </row>
    <row r="177">
      <c r="C177" s="27"/>
    </row>
    <row r="178">
      <c r="C178" s="27"/>
    </row>
    <row r="179">
      <c r="C179" s="27"/>
    </row>
    <row r="180">
      <c r="C180" s="27"/>
    </row>
    <row r="181">
      <c r="C181" s="27"/>
    </row>
    <row r="182">
      <c r="C182" s="27"/>
    </row>
    <row r="183">
      <c r="C183" s="27"/>
    </row>
    <row r="184">
      <c r="C184" s="27"/>
    </row>
    <row r="185">
      <c r="C185" s="27"/>
    </row>
    <row r="186">
      <c r="C186" s="27"/>
    </row>
    <row r="187">
      <c r="C187" s="27"/>
    </row>
    <row r="188">
      <c r="C188" s="27"/>
    </row>
    <row r="189">
      <c r="C189" s="27"/>
    </row>
    <row r="190">
      <c r="C190" s="27"/>
    </row>
    <row r="191">
      <c r="C191" s="27"/>
    </row>
    <row r="192">
      <c r="C192" s="27"/>
    </row>
    <row r="193">
      <c r="C193" s="27"/>
    </row>
    <row r="194">
      <c r="C194" s="27"/>
    </row>
    <row r="195">
      <c r="C195" s="27"/>
    </row>
    <row r="196">
      <c r="C196" s="27"/>
    </row>
    <row r="197">
      <c r="C197" s="27"/>
    </row>
    <row r="198">
      <c r="C198" s="27"/>
    </row>
    <row r="199">
      <c r="C199" s="27"/>
    </row>
    <row r="200">
      <c r="C200" s="27"/>
    </row>
    <row r="201">
      <c r="C201" s="27"/>
    </row>
    <row r="202">
      <c r="C202" s="27"/>
    </row>
    <row r="203">
      <c r="C203" s="27"/>
    </row>
    <row r="204">
      <c r="C204" s="27"/>
    </row>
    <row r="205">
      <c r="C205" s="27"/>
    </row>
    <row r="206">
      <c r="C206" s="27"/>
    </row>
    <row r="207">
      <c r="C207" s="27"/>
    </row>
    <row r="208">
      <c r="C208" s="27"/>
    </row>
    <row r="209">
      <c r="C209" s="27"/>
    </row>
    <row r="210">
      <c r="C210" s="27"/>
    </row>
    <row r="211">
      <c r="C211" s="27"/>
    </row>
    <row r="212">
      <c r="C212" s="27"/>
    </row>
    <row r="213">
      <c r="C213" s="27"/>
    </row>
    <row r="214">
      <c r="C214" s="27"/>
    </row>
    <row r="215">
      <c r="C215" s="27"/>
    </row>
    <row r="216">
      <c r="C216" s="27"/>
    </row>
    <row r="217">
      <c r="C217" s="27"/>
    </row>
    <row r="218">
      <c r="C218" s="27"/>
    </row>
    <row r="219">
      <c r="C219" s="27"/>
    </row>
    <row r="220">
      <c r="C220" s="27"/>
    </row>
    <row r="221">
      <c r="C221" s="27"/>
    </row>
    <row r="222">
      <c r="C222" s="27"/>
    </row>
    <row r="223">
      <c r="C223" s="27"/>
    </row>
    <row r="224">
      <c r="C224" s="27"/>
    </row>
    <row r="225">
      <c r="C225" s="27"/>
    </row>
    <row r="226">
      <c r="C226" s="27"/>
    </row>
    <row r="227">
      <c r="C227" s="27"/>
    </row>
    <row r="228">
      <c r="C228" s="27"/>
    </row>
    <row r="229">
      <c r="C229" s="27"/>
    </row>
    <row r="230">
      <c r="C230" s="27"/>
    </row>
    <row r="231">
      <c r="C231" s="27"/>
    </row>
    <row r="232">
      <c r="C232" s="27"/>
    </row>
    <row r="233">
      <c r="C233" s="27"/>
    </row>
    <row r="234">
      <c r="C234" s="27"/>
    </row>
    <row r="235">
      <c r="C235" s="27"/>
    </row>
    <row r="236">
      <c r="C236" s="27"/>
    </row>
    <row r="237">
      <c r="C237" s="27"/>
    </row>
    <row r="238">
      <c r="C238" s="27"/>
    </row>
    <row r="239">
      <c r="C239" s="27"/>
    </row>
    <row r="240">
      <c r="C240" s="27"/>
    </row>
    <row r="241">
      <c r="C241" s="27"/>
    </row>
    <row r="242">
      <c r="C242" s="27"/>
    </row>
    <row r="243">
      <c r="C243" s="27"/>
    </row>
    <row r="244">
      <c r="C244" s="27"/>
    </row>
    <row r="245">
      <c r="C245" s="27"/>
    </row>
    <row r="246">
      <c r="C246" s="27"/>
    </row>
    <row r="247">
      <c r="C247" s="27"/>
    </row>
    <row r="248">
      <c r="C248" s="27"/>
    </row>
    <row r="249">
      <c r="C249" s="27"/>
    </row>
    <row r="250">
      <c r="C250" s="27"/>
    </row>
    <row r="251">
      <c r="C251" s="27"/>
    </row>
    <row r="252">
      <c r="C252" s="27"/>
    </row>
    <row r="253">
      <c r="C253" s="27"/>
    </row>
    <row r="254">
      <c r="C254" s="27"/>
    </row>
    <row r="255">
      <c r="C255" s="27"/>
    </row>
    <row r="256">
      <c r="C256" s="27"/>
    </row>
    <row r="257">
      <c r="C257" s="27"/>
    </row>
    <row r="258">
      <c r="C258" s="27"/>
    </row>
    <row r="259">
      <c r="C259" s="27"/>
    </row>
    <row r="260">
      <c r="C260" s="27"/>
    </row>
    <row r="261">
      <c r="C261" s="27"/>
    </row>
    <row r="262">
      <c r="C262" s="27"/>
    </row>
    <row r="263">
      <c r="C263" s="27"/>
    </row>
    <row r="264">
      <c r="C264" s="27"/>
    </row>
    <row r="265">
      <c r="C265" s="27"/>
    </row>
    <row r="266">
      <c r="C266" s="27"/>
    </row>
    <row r="267">
      <c r="C267" s="27"/>
    </row>
    <row r="268">
      <c r="C268" s="27"/>
    </row>
    <row r="269">
      <c r="C269" s="27"/>
    </row>
    <row r="270">
      <c r="C270" s="27"/>
    </row>
    <row r="271">
      <c r="C271" s="27"/>
    </row>
    <row r="272">
      <c r="C272" s="27"/>
    </row>
    <row r="273">
      <c r="C273" s="27"/>
    </row>
    <row r="274">
      <c r="C274" s="27"/>
    </row>
    <row r="275">
      <c r="C275" s="27"/>
    </row>
    <row r="276">
      <c r="C276" s="27"/>
    </row>
    <row r="277">
      <c r="C277" s="27"/>
    </row>
    <row r="278">
      <c r="C278" s="27"/>
    </row>
    <row r="279">
      <c r="C279" s="27"/>
    </row>
    <row r="280">
      <c r="C280" s="27"/>
    </row>
    <row r="281">
      <c r="C281" s="27"/>
    </row>
    <row r="282">
      <c r="C282" s="27"/>
    </row>
    <row r="283">
      <c r="C283" s="27"/>
    </row>
    <row r="284">
      <c r="C284" s="27"/>
    </row>
    <row r="285">
      <c r="C285" s="27"/>
    </row>
    <row r="286">
      <c r="C286" s="27"/>
    </row>
    <row r="287">
      <c r="C287" s="27"/>
    </row>
    <row r="288">
      <c r="C288" s="27"/>
    </row>
    <row r="289">
      <c r="C289" s="27"/>
    </row>
    <row r="290">
      <c r="C290" s="27"/>
    </row>
    <row r="291">
      <c r="C291" s="27"/>
    </row>
    <row r="292">
      <c r="C292" s="27"/>
    </row>
    <row r="293">
      <c r="C293" s="27"/>
    </row>
    <row r="294">
      <c r="C294" s="27"/>
    </row>
    <row r="295">
      <c r="C295" s="27"/>
    </row>
    <row r="296">
      <c r="C296" s="27"/>
    </row>
    <row r="297">
      <c r="C297" s="27"/>
    </row>
    <row r="298">
      <c r="C298" s="27"/>
    </row>
    <row r="299">
      <c r="C299" s="27"/>
    </row>
    <row r="300">
      <c r="C300" s="27"/>
    </row>
    <row r="301">
      <c r="C301" s="27"/>
    </row>
    <row r="302">
      <c r="C302" s="27"/>
    </row>
    <row r="303">
      <c r="C303" s="27"/>
    </row>
    <row r="304">
      <c r="C304" s="27"/>
    </row>
    <row r="305">
      <c r="C305" s="27"/>
    </row>
    <row r="306">
      <c r="C306" s="27"/>
    </row>
    <row r="307">
      <c r="C307" s="27"/>
    </row>
    <row r="308">
      <c r="C308" s="27"/>
    </row>
    <row r="309">
      <c r="C309" s="27"/>
    </row>
    <row r="310">
      <c r="C310" s="27"/>
    </row>
    <row r="311">
      <c r="C311" s="27"/>
    </row>
    <row r="312">
      <c r="C312" s="27"/>
    </row>
    <row r="313">
      <c r="C313" s="27"/>
    </row>
    <row r="314">
      <c r="C314" s="27"/>
    </row>
    <row r="315">
      <c r="C315" s="27"/>
    </row>
    <row r="316">
      <c r="C316" s="27"/>
    </row>
    <row r="317">
      <c r="C317" s="27"/>
    </row>
    <row r="318">
      <c r="C318" s="27"/>
    </row>
    <row r="319">
      <c r="C319" s="27"/>
    </row>
    <row r="320">
      <c r="C320" s="27"/>
    </row>
    <row r="321">
      <c r="C321" s="27"/>
    </row>
    <row r="322">
      <c r="C322" s="27"/>
    </row>
    <row r="323">
      <c r="C323" s="27"/>
    </row>
    <row r="324">
      <c r="C324" s="27"/>
    </row>
    <row r="325">
      <c r="C325" s="27"/>
    </row>
    <row r="326">
      <c r="C326" s="27"/>
    </row>
    <row r="327">
      <c r="C327" s="27"/>
    </row>
    <row r="328">
      <c r="C328" s="27"/>
    </row>
    <row r="329">
      <c r="C329" s="27"/>
    </row>
    <row r="330">
      <c r="C330" s="27"/>
    </row>
    <row r="331">
      <c r="C331" s="27"/>
    </row>
    <row r="332">
      <c r="C332" s="27"/>
    </row>
    <row r="333">
      <c r="C333" s="27"/>
    </row>
    <row r="334">
      <c r="C334" s="27"/>
    </row>
    <row r="335">
      <c r="C335" s="27"/>
    </row>
    <row r="336">
      <c r="C336" s="27"/>
    </row>
    <row r="337">
      <c r="C337" s="27"/>
    </row>
    <row r="338">
      <c r="C338" s="27"/>
    </row>
    <row r="339">
      <c r="C339" s="27"/>
    </row>
    <row r="340">
      <c r="C340" s="27"/>
    </row>
    <row r="341">
      <c r="C341" s="27"/>
    </row>
    <row r="342">
      <c r="C342" s="27"/>
    </row>
    <row r="343">
      <c r="C343" s="27"/>
    </row>
    <row r="344">
      <c r="C344" s="27"/>
    </row>
    <row r="345">
      <c r="C345" s="27"/>
    </row>
    <row r="346">
      <c r="C346" s="27"/>
    </row>
    <row r="347">
      <c r="C347" s="27"/>
    </row>
    <row r="348">
      <c r="C348" s="27"/>
    </row>
    <row r="349">
      <c r="C349" s="27"/>
    </row>
    <row r="350">
      <c r="C350" s="27"/>
    </row>
    <row r="351">
      <c r="C351" s="27"/>
    </row>
    <row r="352">
      <c r="C352" s="27"/>
    </row>
    <row r="353">
      <c r="C353" s="27"/>
    </row>
    <row r="354">
      <c r="C354" s="27"/>
    </row>
    <row r="355">
      <c r="C355" s="27"/>
    </row>
    <row r="356">
      <c r="C356" s="27"/>
    </row>
    <row r="357">
      <c r="C357" s="27"/>
    </row>
    <row r="358">
      <c r="C358" s="27"/>
    </row>
    <row r="359">
      <c r="C359" s="27"/>
    </row>
    <row r="360">
      <c r="C360" s="27"/>
    </row>
    <row r="361">
      <c r="C361" s="27"/>
    </row>
    <row r="362">
      <c r="C362" s="27"/>
    </row>
    <row r="363">
      <c r="C363" s="27"/>
    </row>
    <row r="364">
      <c r="C364" s="27"/>
    </row>
    <row r="365">
      <c r="C365" s="27"/>
    </row>
    <row r="366">
      <c r="C366" s="27"/>
    </row>
    <row r="367">
      <c r="C367" s="27"/>
    </row>
    <row r="368">
      <c r="C368" s="27"/>
    </row>
    <row r="369">
      <c r="C369" s="27"/>
    </row>
    <row r="370">
      <c r="C370" s="27"/>
    </row>
    <row r="371">
      <c r="C371" s="27"/>
    </row>
    <row r="372">
      <c r="C372" s="27"/>
    </row>
    <row r="373">
      <c r="C373" s="27"/>
    </row>
    <row r="374">
      <c r="C374" s="27"/>
    </row>
    <row r="375">
      <c r="C375" s="27"/>
    </row>
    <row r="376">
      <c r="C376" s="27"/>
    </row>
    <row r="377">
      <c r="C377" s="27"/>
    </row>
    <row r="378">
      <c r="C378" s="27"/>
    </row>
    <row r="379">
      <c r="C379" s="27"/>
    </row>
    <row r="380">
      <c r="C380" s="27"/>
    </row>
    <row r="381">
      <c r="C381" s="27"/>
    </row>
    <row r="382">
      <c r="C382" s="27"/>
    </row>
    <row r="383">
      <c r="C383" s="27"/>
    </row>
    <row r="384">
      <c r="C384" s="27"/>
    </row>
    <row r="385">
      <c r="C385" s="27"/>
    </row>
    <row r="386">
      <c r="C386" s="27"/>
    </row>
    <row r="387">
      <c r="C387" s="27"/>
    </row>
    <row r="388">
      <c r="C388" s="27"/>
    </row>
    <row r="389">
      <c r="C389" s="27"/>
    </row>
    <row r="390">
      <c r="C390" s="27"/>
    </row>
    <row r="391">
      <c r="C391" s="27"/>
    </row>
    <row r="392">
      <c r="C392" s="27"/>
    </row>
    <row r="393">
      <c r="C393" s="27"/>
    </row>
    <row r="394">
      <c r="C394" s="27"/>
    </row>
    <row r="395">
      <c r="C395" s="27"/>
    </row>
    <row r="396">
      <c r="C396" s="27"/>
    </row>
    <row r="397">
      <c r="C397" s="27"/>
    </row>
    <row r="398">
      <c r="C398" s="27"/>
    </row>
    <row r="399">
      <c r="C399" s="27"/>
    </row>
    <row r="400">
      <c r="C400" s="27"/>
    </row>
    <row r="401">
      <c r="C401" s="27"/>
    </row>
    <row r="402">
      <c r="C402" s="27"/>
    </row>
    <row r="403">
      <c r="C403" s="27"/>
    </row>
    <row r="404">
      <c r="C404" s="27"/>
    </row>
    <row r="405">
      <c r="C405" s="27"/>
    </row>
    <row r="406">
      <c r="C406" s="27"/>
    </row>
    <row r="407">
      <c r="C407" s="27"/>
    </row>
    <row r="408">
      <c r="C408" s="27"/>
    </row>
    <row r="409">
      <c r="C409" s="27"/>
    </row>
    <row r="410">
      <c r="C410" s="27"/>
    </row>
    <row r="411">
      <c r="C411" s="27"/>
    </row>
    <row r="412">
      <c r="C412" s="27"/>
    </row>
    <row r="413">
      <c r="C413" s="27"/>
    </row>
    <row r="414">
      <c r="C414" s="27"/>
    </row>
    <row r="415">
      <c r="C415" s="27"/>
    </row>
    <row r="416">
      <c r="C416" s="27"/>
    </row>
    <row r="417">
      <c r="C417" s="27"/>
    </row>
    <row r="418">
      <c r="C418" s="27"/>
    </row>
    <row r="419">
      <c r="C419" s="27"/>
    </row>
    <row r="420">
      <c r="C420" s="27"/>
    </row>
    <row r="421">
      <c r="C421" s="27"/>
    </row>
    <row r="422">
      <c r="C422" s="27"/>
    </row>
    <row r="423">
      <c r="C423" s="27"/>
    </row>
    <row r="424">
      <c r="C424" s="27"/>
    </row>
    <row r="425">
      <c r="C425" s="27"/>
    </row>
    <row r="426">
      <c r="C426" s="27"/>
    </row>
    <row r="427">
      <c r="C427" s="27"/>
    </row>
    <row r="428">
      <c r="C428" s="27"/>
    </row>
    <row r="429">
      <c r="C429" s="27"/>
    </row>
    <row r="430">
      <c r="C430" s="27"/>
    </row>
    <row r="431">
      <c r="C431" s="27"/>
    </row>
    <row r="432">
      <c r="C432" s="27"/>
    </row>
    <row r="433">
      <c r="C433" s="27"/>
    </row>
    <row r="434">
      <c r="C434" s="27"/>
    </row>
    <row r="435">
      <c r="C435" s="27"/>
    </row>
    <row r="436">
      <c r="C436" s="27"/>
    </row>
    <row r="437">
      <c r="C437" s="27"/>
    </row>
    <row r="438">
      <c r="C438" s="27"/>
    </row>
    <row r="439">
      <c r="C439" s="27"/>
    </row>
    <row r="440">
      <c r="C440" s="27"/>
    </row>
    <row r="441">
      <c r="C441" s="27"/>
    </row>
    <row r="442">
      <c r="C442" s="27"/>
    </row>
    <row r="443">
      <c r="C443" s="27"/>
    </row>
    <row r="444">
      <c r="C444" s="27"/>
    </row>
    <row r="445">
      <c r="C445" s="27"/>
    </row>
    <row r="446">
      <c r="C446" s="27"/>
    </row>
    <row r="447">
      <c r="C447" s="27"/>
    </row>
    <row r="448">
      <c r="C448" s="27"/>
    </row>
    <row r="449">
      <c r="C449" s="27"/>
    </row>
    <row r="450">
      <c r="C450" s="27"/>
    </row>
    <row r="451">
      <c r="C451" s="27"/>
    </row>
    <row r="452">
      <c r="C452" s="27"/>
    </row>
    <row r="453">
      <c r="C453" s="27"/>
    </row>
    <row r="454">
      <c r="C454" s="27"/>
    </row>
    <row r="455">
      <c r="C455" s="27"/>
    </row>
    <row r="456">
      <c r="C456" s="27"/>
    </row>
    <row r="457">
      <c r="C457" s="27"/>
    </row>
    <row r="458">
      <c r="C458" s="27"/>
    </row>
    <row r="459">
      <c r="C459" s="27"/>
    </row>
    <row r="460">
      <c r="C460" s="27"/>
    </row>
    <row r="461">
      <c r="C461" s="27"/>
    </row>
    <row r="462">
      <c r="C462" s="27"/>
    </row>
    <row r="463">
      <c r="C463" s="27"/>
    </row>
    <row r="464">
      <c r="C464" s="27"/>
    </row>
    <row r="465">
      <c r="C465" s="27"/>
    </row>
    <row r="466">
      <c r="C466" s="27"/>
    </row>
    <row r="467">
      <c r="C467" s="27"/>
    </row>
    <row r="468">
      <c r="C468" s="27"/>
    </row>
    <row r="469">
      <c r="C469" s="27"/>
    </row>
    <row r="470">
      <c r="C470" s="27"/>
    </row>
    <row r="471">
      <c r="C471" s="27"/>
    </row>
    <row r="472">
      <c r="C472" s="27"/>
    </row>
    <row r="473">
      <c r="C473" s="27"/>
    </row>
    <row r="474">
      <c r="C474" s="27"/>
    </row>
    <row r="475">
      <c r="C475" s="27"/>
    </row>
    <row r="476">
      <c r="C476" s="27"/>
    </row>
    <row r="477">
      <c r="C477" s="27"/>
    </row>
    <row r="478">
      <c r="C478" s="27"/>
    </row>
    <row r="479">
      <c r="C479" s="27"/>
    </row>
    <row r="480">
      <c r="C480" s="27"/>
    </row>
    <row r="481">
      <c r="C481" s="27"/>
    </row>
    <row r="482">
      <c r="C482" s="27"/>
    </row>
    <row r="483">
      <c r="C483" s="27"/>
    </row>
    <row r="484">
      <c r="C484" s="27"/>
    </row>
    <row r="485">
      <c r="C485" s="27"/>
    </row>
    <row r="486">
      <c r="C486" s="27"/>
    </row>
    <row r="487">
      <c r="C487" s="27"/>
    </row>
    <row r="488">
      <c r="C488" s="27"/>
    </row>
    <row r="489">
      <c r="C489" s="27"/>
    </row>
    <row r="490">
      <c r="C490" s="27"/>
    </row>
    <row r="491">
      <c r="C491" s="27"/>
    </row>
    <row r="492">
      <c r="C492" s="27"/>
    </row>
    <row r="493">
      <c r="C493" s="27"/>
    </row>
    <row r="494">
      <c r="C494" s="27"/>
    </row>
    <row r="495">
      <c r="C495" s="27"/>
    </row>
    <row r="496">
      <c r="C496" s="27"/>
    </row>
    <row r="497">
      <c r="C497" s="27"/>
    </row>
    <row r="498">
      <c r="C498" s="27"/>
    </row>
    <row r="499">
      <c r="C499" s="27"/>
    </row>
    <row r="500">
      <c r="C500" s="27"/>
    </row>
    <row r="501">
      <c r="C501" s="27"/>
    </row>
    <row r="502">
      <c r="C502" s="27"/>
    </row>
    <row r="503">
      <c r="C503" s="27"/>
    </row>
    <row r="504">
      <c r="C504" s="27"/>
    </row>
    <row r="505">
      <c r="C505" s="27"/>
    </row>
    <row r="506">
      <c r="C506" s="27"/>
    </row>
    <row r="507">
      <c r="C507" s="27"/>
    </row>
    <row r="508">
      <c r="C508" s="27"/>
    </row>
    <row r="509">
      <c r="C509" s="27"/>
    </row>
    <row r="510">
      <c r="C510" s="27"/>
    </row>
    <row r="511">
      <c r="C511" s="27"/>
    </row>
    <row r="512">
      <c r="C512" s="27"/>
    </row>
    <row r="513">
      <c r="C513" s="27"/>
    </row>
    <row r="514">
      <c r="C514" s="27"/>
    </row>
    <row r="515">
      <c r="C515" s="27"/>
    </row>
    <row r="516">
      <c r="C516" s="27"/>
    </row>
    <row r="517">
      <c r="C517" s="27"/>
    </row>
    <row r="518">
      <c r="C518" s="27"/>
    </row>
    <row r="519">
      <c r="C519" s="27"/>
    </row>
    <row r="520">
      <c r="C520" s="27"/>
    </row>
    <row r="521">
      <c r="C521" s="27"/>
    </row>
    <row r="522">
      <c r="C522" s="27"/>
    </row>
    <row r="523">
      <c r="C523" s="27"/>
    </row>
    <row r="524">
      <c r="C524" s="27"/>
    </row>
    <row r="525">
      <c r="C525" s="27"/>
    </row>
    <row r="526">
      <c r="C526" s="27"/>
    </row>
    <row r="527">
      <c r="C527" s="27"/>
    </row>
    <row r="528">
      <c r="C528" s="27"/>
    </row>
    <row r="529">
      <c r="C529" s="27"/>
    </row>
    <row r="530">
      <c r="C530" s="27"/>
    </row>
    <row r="531">
      <c r="C531" s="27"/>
    </row>
    <row r="532">
      <c r="C532" s="27"/>
    </row>
    <row r="533">
      <c r="C533" s="27"/>
    </row>
    <row r="534">
      <c r="C534" s="27"/>
    </row>
    <row r="535">
      <c r="C535" s="27"/>
    </row>
    <row r="536">
      <c r="C536" s="27"/>
    </row>
    <row r="537">
      <c r="C537" s="27"/>
    </row>
    <row r="538">
      <c r="C538" s="27"/>
    </row>
    <row r="539">
      <c r="C539" s="27"/>
    </row>
    <row r="540">
      <c r="C540" s="27"/>
    </row>
    <row r="541">
      <c r="C541" s="27"/>
    </row>
    <row r="542">
      <c r="C542" s="27"/>
    </row>
    <row r="543">
      <c r="C543" s="27"/>
    </row>
    <row r="544">
      <c r="C544" s="27"/>
    </row>
    <row r="545">
      <c r="C545" s="27"/>
    </row>
    <row r="546">
      <c r="C546" s="27"/>
    </row>
    <row r="547">
      <c r="C547" s="27"/>
    </row>
    <row r="548">
      <c r="C548" s="27"/>
    </row>
    <row r="549">
      <c r="C549" s="27"/>
    </row>
    <row r="550">
      <c r="C550" s="27"/>
    </row>
    <row r="551">
      <c r="C551" s="27"/>
    </row>
    <row r="552">
      <c r="C552" s="27"/>
    </row>
    <row r="553">
      <c r="C553" s="27"/>
    </row>
    <row r="554">
      <c r="C554" s="27"/>
    </row>
    <row r="555">
      <c r="C555" s="27"/>
    </row>
    <row r="556">
      <c r="C556" s="27"/>
    </row>
    <row r="557">
      <c r="C557" s="27"/>
    </row>
    <row r="558">
      <c r="C558" s="27"/>
    </row>
    <row r="559">
      <c r="C559" s="27"/>
    </row>
    <row r="560">
      <c r="C560" s="27"/>
    </row>
    <row r="561">
      <c r="C561" s="27"/>
    </row>
    <row r="562">
      <c r="C562" s="27"/>
    </row>
    <row r="563">
      <c r="C563" s="27"/>
    </row>
    <row r="564">
      <c r="C564" s="27"/>
    </row>
    <row r="565">
      <c r="C565" s="27"/>
    </row>
    <row r="566">
      <c r="C566" s="27"/>
    </row>
    <row r="567">
      <c r="C567" s="27"/>
    </row>
    <row r="568">
      <c r="C568" s="27"/>
    </row>
    <row r="569">
      <c r="C569" s="27"/>
    </row>
    <row r="570">
      <c r="C570" s="27"/>
    </row>
    <row r="571">
      <c r="C571" s="27"/>
    </row>
    <row r="572">
      <c r="C572" s="27"/>
    </row>
    <row r="573">
      <c r="C573" s="27"/>
    </row>
    <row r="574">
      <c r="C574" s="27"/>
    </row>
    <row r="575">
      <c r="C575" s="27"/>
    </row>
    <row r="576">
      <c r="C576" s="27"/>
    </row>
    <row r="577">
      <c r="C577" s="27"/>
    </row>
    <row r="578">
      <c r="C578" s="27"/>
    </row>
    <row r="579">
      <c r="C579" s="27"/>
    </row>
    <row r="580">
      <c r="C580" s="27"/>
    </row>
    <row r="581">
      <c r="C581" s="27"/>
    </row>
    <row r="582">
      <c r="C582" s="27"/>
    </row>
    <row r="583">
      <c r="C583" s="27"/>
    </row>
    <row r="584">
      <c r="C584" s="27"/>
    </row>
    <row r="585">
      <c r="C585" s="27"/>
    </row>
    <row r="586">
      <c r="C586" s="27"/>
    </row>
    <row r="587">
      <c r="C587" s="27"/>
    </row>
    <row r="588">
      <c r="C588" s="27"/>
    </row>
    <row r="589">
      <c r="C589" s="27"/>
    </row>
    <row r="590">
      <c r="C590" s="27"/>
    </row>
    <row r="591">
      <c r="C591" s="27"/>
    </row>
    <row r="592">
      <c r="C592" s="27"/>
    </row>
    <row r="593">
      <c r="C593" s="27"/>
    </row>
    <row r="594">
      <c r="C594" s="27"/>
    </row>
    <row r="595">
      <c r="C595" s="27"/>
    </row>
    <row r="596">
      <c r="C596" s="27"/>
    </row>
    <row r="597">
      <c r="C597" s="27"/>
    </row>
    <row r="598">
      <c r="C598" s="27"/>
    </row>
    <row r="599">
      <c r="C599" s="27"/>
    </row>
    <row r="600">
      <c r="C600" s="27"/>
    </row>
    <row r="601">
      <c r="C601" s="27"/>
    </row>
    <row r="602">
      <c r="C602" s="27"/>
    </row>
    <row r="603">
      <c r="C603" s="27"/>
    </row>
    <row r="604">
      <c r="C604" s="27"/>
    </row>
    <row r="605">
      <c r="C605" s="27"/>
    </row>
    <row r="606">
      <c r="C606" s="27"/>
    </row>
    <row r="607">
      <c r="C607" s="27"/>
    </row>
    <row r="608">
      <c r="C608" s="27"/>
    </row>
    <row r="609">
      <c r="C609" s="27"/>
    </row>
    <row r="610">
      <c r="C610" s="27"/>
    </row>
    <row r="611">
      <c r="C611" s="27"/>
    </row>
    <row r="612">
      <c r="C612" s="27"/>
    </row>
    <row r="613">
      <c r="C613" s="27"/>
    </row>
    <row r="614">
      <c r="C614" s="27"/>
    </row>
    <row r="615">
      <c r="C615" s="27"/>
    </row>
    <row r="616">
      <c r="C616" s="27"/>
    </row>
    <row r="617">
      <c r="C617" s="27"/>
    </row>
    <row r="618">
      <c r="C618" s="27"/>
    </row>
    <row r="619">
      <c r="C619" s="27"/>
    </row>
    <row r="620">
      <c r="C620" s="27"/>
    </row>
    <row r="621">
      <c r="C621" s="27"/>
    </row>
    <row r="622">
      <c r="C622" s="27"/>
    </row>
    <row r="623">
      <c r="C623" s="27"/>
    </row>
    <row r="624">
      <c r="C624" s="27"/>
    </row>
    <row r="625">
      <c r="C625" s="27"/>
    </row>
    <row r="626">
      <c r="C626" s="27"/>
    </row>
    <row r="627">
      <c r="C627" s="27"/>
    </row>
    <row r="628">
      <c r="C628" s="27"/>
    </row>
    <row r="629">
      <c r="C629" s="27"/>
    </row>
    <row r="630">
      <c r="C630" s="27"/>
    </row>
    <row r="631">
      <c r="C631" s="27"/>
    </row>
    <row r="632">
      <c r="C632" s="27"/>
    </row>
    <row r="633">
      <c r="C633" s="27"/>
    </row>
    <row r="634">
      <c r="C634" s="27"/>
    </row>
    <row r="635">
      <c r="C635" s="27"/>
    </row>
    <row r="636">
      <c r="C636" s="27"/>
    </row>
    <row r="637">
      <c r="C637" s="27"/>
    </row>
    <row r="638">
      <c r="C638" s="27"/>
    </row>
    <row r="639">
      <c r="C639" s="27"/>
    </row>
    <row r="640">
      <c r="C640" s="27"/>
    </row>
    <row r="641">
      <c r="C641" s="27"/>
    </row>
    <row r="642">
      <c r="C642" s="27"/>
    </row>
    <row r="643">
      <c r="C643" s="27"/>
    </row>
    <row r="644">
      <c r="C644" s="27"/>
    </row>
    <row r="645">
      <c r="C645" s="27"/>
    </row>
    <row r="646">
      <c r="C646" s="27"/>
    </row>
    <row r="647">
      <c r="C647" s="27"/>
    </row>
    <row r="648">
      <c r="C648" s="27"/>
    </row>
    <row r="649">
      <c r="C649" s="27"/>
    </row>
    <row r="650">
      <c r="C650" s="27"/>
    </row>
    <row r="651">
      <c r="C651" s="27"/>
    </row>
    <row r="652">
      <c r="C652" s="27"/>
    </row>
    <row r="653">
      <c r="C653" s="27"/>
    </row>
    <row r="654">
      <c r="C654" s="27"/>
    </row>
    <row r="655">
      <c r="C655" s="27"/>
    </row>
    <row r="656">
      <c r="C656" s="27"/>
    </row>
    <row r="657">
      <c r="C657" s="27"/>
    </row>
    <row r="658">
      <c r="C658" s="27"/>
    </row>
    <row r="659">
      <c r="C659" s="27"/>
    </row>
    <row r="660">
      <c r="C660" s="27"/>
    </row>
    <row r="661">
      <c r="C661" s="27"/>
    </row>
    <row r="662">
      <c r="C662" s="27"/>
    </row>
    <row r="663">
      <c r="C663" s="27"/>
    </row>
    <row r="664">
      <c r="C664" s="27"/>
    </row>
    <row r="665">
      <c r="C665" s="27"/>
    </row>
    <row r="666">
      <c r="C666" s="27"/>
    </row>
    <row r="667">
      <c r="C667" s="27"/>
    </row>
    <row r="668">
      <c r="C668" s="27"/>
    </row>
    <row r="669">
      <c r="C669" s="27"/>
    </row>
    <row r="670">
      <c r="C670" s="27"/>
    </row>
    <row r="671">
      <c r="C671" s="27"/>
    </row>
    <row r="672">
      <c r="C672" s="27"/>
    </row>
    <row r="673">
      <c r="C673" s="27"/>
    </row>
    <row r="674">
      <c r="C674" s="27"/>
    </row>
    <row r="675">
      <c r="C675" s="27"/>
    </row>
    <row r="676">
      <c r="C676" s="27"/>
    </row>
    <row r="677">
      <c r="C677" s="27"/>
    </row>
    <row r="678">
      <c r="C678" s="27"/>
    </row>
    <row r="679">
      <c r="C679" s="27"/>
    </row>
    <row r="680">
      <c r="C680" s="27"/>
    </row>
    <row r="681">
      <c r="C681" s="27"/>
    </row>
    <row r="682">
      <c r="C682" s="27"/>
    </row>
    <row r="683">
      <c r="C683" s="27"/>
    </row>
    <row r="684">
      <c r="C684" s="27"/>
    </row>
    <row r="685">
      <c r="C685" s="27"/>
    </row>
    <row r="686">
      <c r="C686" s="27"/>
    </row>
    <row r="687">
      <c r="C687" s="27"/>
    </row>
    <row r="688">
      <c r="C688" s="27"/>
    </row>
    <row r="689">
      <c r="C689" s="27"/>
    </row>
    <row r="690">
      <c r="C690" s="27"/>
    </row>
    <row r="691">
      <c r="C691" s="27"/>
    </row>
    <row r="692">
      <c r="C692" s="27"/>
    </row>
    <row r="693">
      <c r="C693" s="27"/>
    </row>
    <row r="694">
      <c r="C694" s="27"/>
    </row>
    <row r="695">
      <c r="C695" s="27"/>
    </row>
    <row r="696">
      <c r="C696" s="27"/>
    </row>
    <row r="697">
      <c r="C697" s="27"/>
    </row>
    <row r="698">
      <c r="C698" s="27"/>
    </row>
    <row r="699">
      <c r="C699" s="27"/>
    </row>
    <row r="700">
      <c r="C700" s="27"/>
    </row>
    <row r="701">
      <c r="C701" s="27"/>
    </row>
    <row r="702">
      <c r="C702" s="27"/>
    </row>
    <row r="703">
      <c r="C703" s="27"/>
    </row>
    <row r="704">
      <c r="C704" s="27"/>
    </row>
    <row r="705">
      <c r="C705" s="27"/>
    </row>
    <row r="706">
      <c r="C706" s="27"/>
    </row>
    <row r="707">
      <c r="C707" s="27"/>
    </row>
    <row r="708">
      <c r="C708" s="27"/>
    </row>
    <row r="709">
      <c r="C709" s="27"/>
    </row>
    <row r="710">
      <c r="C710" s="27"/>
    </row>
    <row r="711">
      <c r="C711" s="27"/>
    </row>
    <row r="712">
      <c r="C712" s="27"/>
    </row>
    <row r="713">
      <c r="C713" s="27"/>
    </row>
    <row r="714">
      <c r="C714" s="27"/>
    </row>
    <row r="715">
      <c r="C715" s="27"/>
    </row>
    <row r="716">
      <c r="C716" s="27"/>
    </row>
    <row r="717">
      <c r="C717" s="27"/>
    </row>
    <row r="718">
      <c r="C718" s="27"/>
    </row>
    <row r="719">
      <c r="C719" s="27"/>
    </row>
    <row r="720">
      <c r="C720" s="27"/>
    </row>
    <row r="721">
      <c r="C721" s="27"/>
    </row>
    <row r="722">
      <c r="C722" s="27"/>
    </row>
    <row r="723">
      <c r="C723" s="27"/>
    </row>
    <row r="724">
      <c r="C724" s="27"/>
    </row>
    <row r="725">
      <c r="C725" s="27"/>
    </row>
    <row r="726">
      <c r="C726" s="27"/>
    </row>
    <row r="727">
      <c r="C727" s="27"/>
    </row>
    <row r="728">
      <c r="C728" s="27"/>
    </row>
    <row r="729">
      <c r="C729" s="27"/>
    </row>
    <row r="730">
      <c r="C730" s="27"/>
    </row>
    <row r="731">
      <c r="C731" s="27"/>
    </row>
    <row r="732">
      <c r="C732" s="27"/>
    </row>
    <row r="733">
      <c r="C733" s="27"/>
    </row>
    <row r="734">
      <c r="C734" s="27"/>
    </row>
    <row r="735">
      <c r="C735" s="27"/>
    </row>
    <row r="736">
      <c r="C736" s="27"/>
    </row>
    <row r="737">
      <c r="C737" s="27"/>
    </row>
    <row r="738">
      <c r="C738" s="27"/>
    </row>
    <row r="739">
      <c r="C739" s="27"/>
    </row>
    <row r="740">
      <c r="C740" s="27"/>
    </row>
    <row r="741">
      <c r="C741" s="27"/>
    </row>
    <row r="742">
      <c r="C742" s="27"/>
    </row>
    <row r="743">
      <c r="C743" s="27"/>
    </row>
    <row r="744">
      <c r="C744" s="27"/>
    </row>
    <row r="745">
      <c r="C745" s="27"/>
    </row>
    <row r="746">
      <c r="C746" s="27"/>
    </row>
    <row r="747">
      <c r="C747" s="27"/>
    </row>
    <row r="748">
      <c r="C748" s="27"/>
    </row>
    <row r="749">
      <c r="C749" s="27"/>
    </row>
    <row r="750">
      <c r="C750" s="27"/>
    </row>
    <row r="751">
      <c r="C751" s="27"/>
    </row>
    <row r="752">
      <c r="C752" s="27"/>
    </row>
    <row r="753">
      <c r="C753" s="27"/>
    </row>
    <row r="754">
      <c r="C754" s="27"/>
    </row>
    <row r="755">
      <c r="C755" s="27"/>
    </row>
    <row r="756">
      <c r="C756" s="27"/>
    </row>
    <row r="757">
      <c r="C757" s="27"/>
    </row>
    <row r="758">
      <c r="C758" s="27"/>
    </row>
    <row r="759">
      <c r="C759" s="27"/>
    </row>
    <row r="760">
      <c r="C760" s="27"/>
    </row>
    <row r="761">
      <c r="C761" s="27"/>
    </row>
    <row r="762">
      <c r="C762" s="27"/>
    </row>
    <row r="763">
      <c r="C763" s="27"/>
    </row>
    <row r="764">
      <c r="C764" s="27"/>
    </row>
    <row r="765">
      <c r="C765" s="27"/>
    </row>
    <row r="766">
      <c r="C766" s="27"/>
    </row>
    <row r="767">
      <c r="C767" s="27"/>
    </row>
    <row r="768">
      <c r="C768" s="27"/>
    </row>
    <row r="769">
      <c r="C769" s="27"/>
    </row>
    <row r="770">
      <c r="C770" s="27"/>
    </row>
    <row r="771">
      <c r="C771" s="27"/>
    </row>
    <row r="772">
      <c r="C772" s="27"/>
    </row>
    <row r="773">
      <c r="C773" s="27"/>
    </row>
    <row r="774">
      <c r="C774" s="27"/>
    </row>
    <row r="775">
      <c r="C775" s="27"/>
    </row>
    <row r="776">
      <c r="C776" s="27"/>
    </row>
    <row r="777">
      <c r="C777" s="27"/>
    </row>
    <row r="778">
      <c r="C778" s="27"/>
    </row>
    <row r="779">
      <c r="C779" s="27"/>
    </row>
    <row r="780">
      <c r="C780" s="27"/>
    </row>
    <row r="781">
      <c r="C781" s="27"/>
    </row>
    <row r="782">
      <c r="C782" s="27"/>
    </row>
    <row r="783">
      <c r="C783" s="27"/>
    </row>
    <row r="784">
      <c r="C784" s="27"/>
    </row>
    <row r="785">
      <c r="C785" s="27"/>
    </row>
    <row r="786">
      <c r="C786" s="27"/>
    </row>
    <row r="787">
      <c r="C787" s="27"/>
    </row>
    <row r="788">
      <c r="C788" s="27"/>
    </row>
    <row r="789">
      <c r="C789" s="27"/>
    </row>
    <row r="790">
      <c r="C790" s="27"/>
    </row>
    <row r="791">
      <c r="C791" s="27"/>
    </row>
    <row r="792">
      <c r="C792" s="27"/>
    </row>
    <row r="793">
      <c r="C793" s="27"/>
    </row>
    <row r="794">
      <c r="C794" s="27"/>
    </row>
    <row r="795">
      <c r="C795" s="27"/>
    </row>
    <row r="796">
      <c r="C796" s="27"/>
    </row>
    <row r="797">
      <c r="C797" s="27"/>
    </row>
    <row r="798">
      <c r="C798" s="27"/>
    </row>
    <row r="799">
      <c r="C799" s="27"/>
    </row>
    <row r="800">
      <c r="C800" s="27"/>
    </row>
    <row r="801">
      <c r="C801" s="27"/>
    </row>
    <row r="802">
      <c r="C802" s="27"/>
    </row>
    <row r="803">
      <c r="C803" s="27"/>
    </row>
    <row r="804">
      <c r="C804" s="27"/>
    </row>
    <row r="805">
      <c r="C805" s="27"/>
    </row>
    <row r="806">
      <c r="C806" s="27"/>
    </row>
    <row r="807">
      <c r="C807" s="27"/>
    </row>
    <row r="808">
      <c r="C808" s="27"/>
    </row>
    <row r="809">
      <c r="C809" s="27"/>
    </row>
    <row r="810">
      <c r="C810" s="27"/>
    </row>
    <row r="811">
      <c r="C811" s="27"/>
    </row>
    <row r="812">
      <c r="C812" s="27"/>
    </row>
    <row r="813">
      <c r="C813" s="27"/>
    </row>
    <row r="814">
      <c r="C814" s="27"/>
    </row>
    <row r="815">
      <c r="C815" s="27"/>
    </row>
    <row r="816">
      <c r="C816" s="27"/>
    </row>
    <row r="817">
      <c r="C817" s="27"/>
    </row>
    <row r="818">
      <c r="C818" s="27"/>
    </row>
    <row r="819">
      <c r="C819" s="27"/>
    </row>
    <row r="820">
      <c r="C820" s="27"/>
    </row>
    <row r="821">
      <c r="C821" s="27"/>
    </row>
    <row r="822">
      <c r="C822" s="27"/>
    </row>
    <row r="823">
      <c r="C823" s="27"/>
    </row>
    <row r="824">
      <c r="C824" s="27"/>
    </row>
    <row r="825">
      <c r="C825" s="27"/>
    </row>
    <row r="826">
      <c r="C826" s="27"/>
    </row>
    <row r="827">
      <c r="C827" s="27"/>
    </row>
    <row r="828">
      <c r="C828" s="27"/>
    </row>
    <row r="829">
      <c r="C829" s="27"/>
    </row>
    <row r="830">
      <c r="C830" s="27"/>
    </row>
    <row r="831">
      <c r="C831" s="27"/>
    </row>
    <row r="832">
      <c r="C832" s="27"/>
    </row>
    <row r="833">
      <c r="C833" s="27"/>
    </row>
    <row r="834">
      <c r="C834" s="27"/>
    </row>
    <row r="835">
      <c r="C835" s="27"/>
    </row>
    <row r="836">
      <c r="C836" s="27"/>
    </row>
    <row r="837">
      <c r="C837" s="27"/>
    </row>
    <row r="838">
      <c r="C838" s="27"/>
    </row>
    <row r="839">
      <c r="C839" s="27"/>
    </row>
    <row r="840">
      <c r="C840" s="27"/>
    </row>
    <row r="841">
      <c r="C841" s="27"/>
    </row>
    <row r="842">
      <c r="C842" s="27"/>
    </row>
    <row r="843">
      <c r="C843" s="27"/>
    </row>
    <row r="844">
      <c r="C844" s="27"/>
    </row>
    <row r="845">
      <c r="C845" s="27"/>
    </row>
    <row r="846">
      <c r="C846" s="27"/>
    </row>
    <row r="847">
      <c r="C847" s="27"/>
    </row>
    <row r="848">
      <c r="C848" s="27"/>
    </row>
    <row r="849">
      <c r="C849" s="27"/>
    </row>
    <row r="850">
      <c r="C850" s="27"/>
    </row>
    <row r="851">
      <c r="C851" s="27"/>
    </row>
    <row r="852">
      <c r="C852" s="27"/>
    </row>
    <row r="853">
      <c r="C853" s="27"/>
    </row>
    <row r="854">
      <c r="C854" s="27"/>
    </row>
    <row r="855">
      <c r="C855" s="27"/>
    </row>
    <row r="856">
      <c r="C856" s="27"/>
    </row>
    <row r="857">
      <c r="C857" s="27"/>
    </row>
    <row r="858">
      <c r="C858" s="27"/>
    </row>
    <row r="859">
      <c r="C859" s="27"/>
    </row>
    <row r="860">
      <c r="C860" s="27"/>
    </row>
    <row r="861">
      <c r="C861" s="27"/>
    </row>
    <row r="862">
      <c r="C862" s="27"/>
    </row>
    <row r="863">
      <c r="C863" s="27"/>
    </row>
    <row r="864">
      <c r="C864" s="27"/>
    </row>
    <row r="865">
      <c r="C865" s="27"/>
    </row>
    <row r="866">
      <c r="C866" s="27"/>
    </row>
    <row r="867">
      <c r="C867" s="27"/>
    </row>
    <row r="868">
      <c r="C868" s="27"/>
    </row>
    <row r="869">
      <c r="C869" s="27"/>
    </row>
    <row r="870">
      <c r="C870" s="27"/>
    </row>
    <row r="871">
      <c r="C871" s="27"/>
    </row>
    <row r="872">
      <c r="C872" s="27"/>
    </row>
    <row r="873">
      <c r="C873" s="27"/>
    </row>
    <row r="874">
      <c r="C874" s="27"/>
    </row>
    <row r="875">
      <c r="C875" s="27"/>
    </row>
    <row r="876">
      <c r="C876" s="27"/>
    </row>
    <row r="877">
      <c r="C877" s="27"/>
    </row>
    <row r="878">
      <c r="C878" s="27"/>
    </row>
    <row r="879">
      <c r="C879" s="27"/>
    </row>
    <row r="880">
      <c r="C880" s="27"/>
    </row>
    <row r="881">
      <c r="C881" s="27"/>
    </row>
    <row r="882">
      <c r="C882" s="27"/>
    </row>
    <row r="883">
      <c r="C883" s="27"/>
    </row>
    <row r="884">
      <c r="C884" s="27"/>
    </row>
    <row r="885">
      <c r="C885" s="27"/>
    </row>
    <row r="886">
      <c r="C886" s="27"/>
    </row>
    <row r="887">
      <c r="C887" s="27"/>
    </row>
    <row r="888">
      <c r="C888" s="27"/>
    </row>
    <row r="889">
      <c r="C889" s="27"/>
    </row>
    <row r="890">
      <c r="C890" s="27"/>
    </row>
    <row r="891">
      <c r="C891" s="27"/>
    </row>
    <row r="892">
      <c r="C892" s="27"/>
    </row>
    <row r="893">
      <c r="C893" s="27"/>
    </row>
    <row r="894">
      <c r="C894" s="27"/>
    </row>
    <row r="895">
      <c r="C895" s="27"/>
    </row>
    <row r="896">
      <c r="C896" s="27"/>
    </row>
    <row r="897">
      <c r="C897" s="27"/>
    </row>
    <row r="898">
      <c r="C898" s="27"/>
    </row>
    <row r="899">
      <c r="C899" s="27"/>
    </row>
    <row r="900">
      <c r="C900" s="27"/>
    </row>
    <row r="901">
      <c r="C901" s="27"/>
    </row>
    <row r="902">
      <c r="C902" s="27"/>
    </row>
    <row r="903">
      <c r="C903" s="27"/>
    </row>
    <row r="904">
      <c r="C904" s="27"/>
    </row>
    <row r="905">
      <c r="C905" s="27"/>
    </row>
    <row r="906">
      <c r="C906" s="27"/>
    </row>
    <row r="907">
      <c r="C907" s="27"/>
    </row>
    <row r="908">
      <c r="C908" s="27"/>
    </row>
    <row r="909">
      <c r="C909" s="27"/>
    </row>
    <row r="910">
      <c r="C910" s="27"/>
    </row>
    <row r="911">
      <c r="C911" s="27"/>
    </row>
    <row r="912">
      <c r="C912" s="27"/>
    </row>
    <row r="913">
      <c r="C913" s="27"/>
    </row>
    <row r="914">
      <c r="C914" s="27"/>
    </row>
    <row r="915">
      <c r="C915" s="27"/>
    </row>
    <row r="916">
      <c r="C916" s="27"/>
    </row>
    <row r="917">
      <c r="C917" s="27"/>
    </row>
    <row r="918">
      <c r="C918" s="27"/>
    </row>
    <row r="919">
      <c r="C919" s="27"/>
    </row>
    <row r="920">
      <c r="C920" s="27"/>
    </row>
    <row r="921">
      <c r="C921" s="27"/>
    </row>
    <row r="922">
      <c r="C922" s="27"/>
    </row>
    <row r="923">
      <c r="C923" s="27"/>
    </row>
    <row r="924">
      <c r="C924" s="27"/>
    </row>
    <row r="925">
      <c r="C925" s="27"/>
    </row>
    <row r="926">
      <c r="C926" s="27"/>
    </row>
    <row r="927">
      <c r="C927" s="27"/>
    </row>
    <row r="928">
      <c r="C928" s="27"/>
    </row>
    <row r="929">
      <c r="C929" s="27"/>
    </row>
    <row r="930">
      <c r="C930" s="27"/>
    </row>
    <row r="931">
      <c r="C931" s="27"/>
    </row>
    <row r="932">
      <c r="C932" s="27"/>
    </row>
    <row r="933">
      <c r="C933" s="27"/>
    </row>
    <row r="934">
      <c r="C934" s="27"/>
    </row>
    <row r="935">
      <c r="C935" s="27"/>
    </row>
    <row r="936">
      <c r="C936" s="27"/>
    </row>
    <row r="937">
      <c r="C937" s="27"/>
    </row>
    <row r="938">
      <c r="C938" s="27"/>
    </row>
    <row r="939">
      <c r="C939" s="27"/>
    </row>
    <row r="940">
      <c r="C940" s="27"/>
    </row>
    <row r="941">
      <c r="C941" s="27"/>
    </row>
    <row r="942">
      <c r="C942" s="27"/>
    </row>
    <row r="943">
      <c r="C943" s="27"/>
    </row>
    <row r="944">
      <c r="C944" s="27"/>
    </row>
    <row r="945">
      <c r="C945" s="27"/>
    </row>
    <row r="946">
      <c r="C946" s="27"/>
    </row>
    <row r="947">
      <c r="C947" s="27"/>
    </row>
    <row r="948">
      <c r="C948" s="27"/>
    </row>
    <row r="949">
      <c r="C949" s="27"/>
    </row>
    <row r="950">
      <c r="C950" s="27"/>
    </row>
    <row r="951">
      <c r="C951" s="27"/>
    </row>
    <row r="952">
      <c r="C952" s="27"/>
    </row>
    <row r="953">
      <c r="C953" s="27"/>
    </row>
    <row r="954">
      <c r="C954" s="27"/>
    </row>
    <row r="955">
      <c r="C955" s="27"/>
    </row>
    <row r="956">
      <c r="C956" s="27"/>
    </row>
    <row r="957">
      <c r="C957" s="27"/>
    </row>
    <row r="958">
      <c r="C958" s="27"/>
    </row>
    <row r="959">
      <c r="C959" s="27"/>
    </row>
    <row r="960">
      <c r="C960" s="27"/>
    </row>
    <row r="961">
      <c r="C961" s="27"/>
    </row>
    <row r="962">
      <c r="C962" s="27"/>
    </row>
    <row r="963">
      <c r="C963" s="27"/>
    </row>
    <row r="964">
      <c r="C964" s="27"/>
    </row>
    <row r="965">
      <c r="C965" s="27"/>
    </row>
    <row r="966">
      <c r="C966" s="27"/>
    </row>
    <row r="967">
      <c r="C967" s="27"/>
    </row>
    <row r="968">
      <c r="C968" s="27"/>
    </row>
    <row r="969">
      <c r="C969" s="27"/>
    </row>
    <row r="970">
      <c r="C970" s="27"/>
    </row>
    <row r="971">
      <c r="C971" s="27"/>
    </row>
    <row r="972">
      <c r="C972" s="27"/>
    </row>
    <row r="973">
      <c r="C973" s="27"/>
    </row>
    <row r="974">
      <c r="C974" s="27"/>
    </row>
    <row r="975">
      <c r="C975" s="27"/>
    </row>
    <row r="976">
      <c r="C976" s="27"/>
    </row>
    <row r="977">
      <c r="C977" s="27"/>
    </row>
    <row r="978">
      <c r="C978" s="27"/>
    </row>
    <row r="979">
      <c r="C979" s="27"/>
    </row>
    <row r="980">
      <c r="C980" s="27"/>
    </row>
    <row r="981">
      <c r="C981" s="27"/>
    </row>
    <row r="982">
      <c r="C982" s="27"/>
    </row>
    <row r="983">
      <c r="C983" s="27"/>
    </row>
    <row r="984">
      <c r="C984" s="27"/>
    </row>
    <row r="985">
      <c r="C985" s="27"/>
    </row>
    <row r="986">
      <c r="C986" s="27"/>
    </row>
    <row r="987">
      <c r="C987" s="27"/>
    </row>
    <row r="988">
      <c r="C988" s="27"/>
    </row>
    <row r="989">
      <c r="C989" s="27"/>
    </row>
    <row r="990">
      <c r="C990" s="27"/>
    </row>
    <row r="991">
      <c r="C991" s="27"/>
    </row>
    <row r="992">
      <c r="C992" s="27"/>
    </row>
    <row r="993">
      <c r="C993" s="27"/>
    </row>
    <row r="994">
      <c r="C994" s="27"/>
    </row>
    <row r="995">
      <c r="C995" s="27"/>
    </row>
    <row r="996">
      <c r="C996" s="27"/>
    </row>
    <row r="997">
      <c r="C997" s="27"/>
    </row>
    <row r="998">
      <c r="C998" s="27"/>
    </row>
    <row r="999">
      <c r="C999" s="27"/>
    </row>
    <row r="1000">
      <c r="C1000" s="27"/>
    </row>
  </sheetData>
  <mergeCells count="1">
    <mergeCell ref="M2:M40"/>
  </mergeCells>
  <dataValidations>
    <dataValidation type="list" allowBlank="1" showErrorMessage="1" sqref="R1:R40">
      <formula1>"Released,Ongoing,Pending"</formula1>
    </dataValidation>
  </dataValidations>
  <hyperlinks>
    <hyperlink r:id="rId1" ref="M2"/>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6.0"/>
    <col customWidth="1" min="3" max="3" width="18.75"/>
    <col customWidth="1" min="4" max="4" width="26.5"/>
    <col customWidth="1" min="5" max="5" width="31.0"/>
    <col customWidth="1" min="6" max="6" width="9.13"/>
    <col customWidth="1" min="7" max="7" width="25.25"/>
    <col customWidth="1" min="8" max="8" width="40.63"/>
    <col customWidth="1" min="9" max="9" width="34.38"/>
    <col customWidth="1" min="10" max="10" width="15.25"/>
    <col customWidth="1" min="11" max="11" width="21.75"/>
    <col customWidth="1" min="12" max="12" width="17.0"/>
    <col customWidth="1" min="13" max="13" width="13.88"/>
    <col customWidth="1" min="14" max="14" width="21.38"/>
    <col customWidth="1" min="15" max="15" width="24.75"/>
    <col customWidth="1" min="16" max="16" width="19.5"/>
    <col customWidth="1" min="17" max="17" width="22.0"/>
  </cols>
  <sheetData>
    <row r="1">
      <c r="A1" s="1" t="s">
        <v>0</v>
      </c>
      <c r="B1" s="1" t="s">
        <v>1</v>
      </c>
      <c r="C1" s="1" t="s">
        <v>2</v>
      </c>
      <c r="D1" s="1" t="s">
        <v>3</v>
      </c>
      <c r="E1" s="1" t="s">
        <v>4</v>
      </c>
      <c r="F1" s="2" t="s">
        <v>33</v>
      </c>
      <c r="G1" s="1" t="s">
        <v>5</v>
      </c>
      <c r="H1" s="17" t="s">
        <v>34</v>
      </c>
      <c r="I1" s="1" t="s">
        <v>6</v>
      </c>
      <c r="J1" s="1" t="s">
        <v>7</v>
      </c>
      <c r="K1" s="2" t="s">
        <v>35</v>
      </c>
      <c r="L1" s="1" t="s">
        <v>9</v>
      </c>
      <c r="M1" s="2" t="s">
        <v>36</v>
      </c>
      <c r="N1" s="1" t="s">
        <v>11</v>
      </c>
      <c r="O1" s="2" t="s">
        <v>12</v>
      </c>
      <c r="P1" s="1" t="s">
        <v>13</v>
      </c>
      <c r="Q1" s="1" t="s">
        <v>14</v>
      </c>
      <c r="R1" s="18" t="s">
        <v>15</v>
      </c>
    </row>
    <row r="2">
      <c r="A2" s="19">
        <f t="shared" ref="A2:A52" si="1">ROW(A2)-1</f>
        <v>1</v>
      </c>
      <c r="B2" s="7" t="s">
        <v>123</v>
      </c>
      <c r="C2" s="7"/>
      <c r="D2" s="7" t="s">
        <v>124</v>
      </c>
      <c r="E2" s="7" t="s">
        <v>125</v>
      </c>
      <c r="F2" s="7" t="s">
        <v>118</v>
      </c>
      <c r="G2" s="7" t="s">
        <v>18</v>
      </c>
      <c r="H2" s="7" t="s">
        <v>126</v>
      </c>
      <c r="I2" s="21" t="s">
        <v>40</v>
      </c>
      <c r="J2" s="7" t="s">
        <v>30</v>
      </c>
      <c r="K2" s="28" t="s">
        <v>127</v>
      </c>
      <c r="L2" s="7"/>
      <c r="M2" s="7" t="s">
        <v>128</v>
      </c>
      <c r="N2" s="7"/>
      <c r="O2" s="22">
        <v>45866.0</v>
      </c>
      <c r="P2" s="22">
        <v>45862.0</v>
      </c>
      <c r="Q2" s="7"/>
      <c r="R2" s="21" t="s">
        <v>23</v>
      </c>
    </row>
    <row r="3">
      <c r="A3" s="19">
        <f t="shared" si="1"/>
        <v>2</v>
      </c>
      <c r="B3" s="7" t="s">
        <v>129</v>
      </c>
      <c r="C3" s="7"/>
      <c r="D3" s="7" t="s">
        <v>124</v>
      </c>
      <c r="E3" s="7" t="s">
        <v>130</v>
      </c>
      <c r="F3" s="7" t="s">
        <v>118</v>
      </c>
      <c r="G3" s="7" t="s">
        <v>18</v>
      </c>
      <c r="H3" s="7" t="s">
        <v>126</v>
      </c>
      <c r="I3" s="21" t="s">
        <v>40</v>
      </c>
      <c r="J3" s="7" t="s">
        <v>30</v>
      </c>
      <c r="K3" s="28" t="s">
        <v>127</v>
      </c>
      <c r="L3" s="7"/>
      <c r="N3" s="7"/>
      <c r="O3" s="22">
        <v>45866.0</v>
      </c>
      <c r="P3" s="22">
        <v>45862.0</v>
      </c>
      <c r="Q3" s="7"/>
      <c r="R3" s="21" t="s">
        <v>23</v>
      </c>
    </row>
    <row r="4">
      <c r="A4" s="19">
        <f t="shared" si="1"/>
        <v>3</v>
      </c>
      <c r="B4" s="7" t="s">
        <v>131</v>
      </c>
      <c r="C4" s="7"/>
      <c r="D4" s="7" t="s">
        <v>132</v>
      </c>
      <c r="E4" s="7" t="s">
        <v>133</v>
      </c>
      <c r="F4" s="7" t="s">
        <v>111</v>
      </c>
      <c r="G4" s="7" t="s">
        <v>18</v>
      </c>
      <c r="H4" s="7" t="s">
        <v>126</v>
      </c>
      <c r="I4" s="21" t="s">
        <v>40</v>
      </c>
      <c r="J4" s="7" t="s">
        <v>30</v>
      </c>
      <c r="K4" s="28" t="s">
        <v>134</v>
      </c>
      <c r="L4" s="7"/>
      <c r="N4" s="7"/>
      <c r="O4" s="22">
        <v>45866.0</v>
      </c>
      <c r="P4" s="22">
        <v>45862.0</v>
      </c>
      <c r="Q4" s="7"/>
      <c r="R4" s="21" t="s">
        <v>23</v>
      </c>
    </row>
    <row r="5">
      <c r="A5" s="19">
        <f t="shared" si="1"/>
        <v>4</v>
      </c>
      <c r="B5" s="7" t="s">
        <v>135</v>
      </c>
      <c r="C5" s="7"/>
      <c r="D5" s="7" t="s">
        <v>124</v>
      </c>
      <c r="E5" s="7" t="s">
        <v>136</v>
      </c>
      <c r="F5" s="7" t="s">
        <v>118</v>
      </c>
      <c r="G5" s="7" t="s">
        <v>18</v>
      </c>
      <c r="H5" s="7" t="s">
        <v>126</v>
      </c>
      <c r="I5" s="21" t="s">
        <v>40</v>
      </c>
      <c r="J5" s="7" t="s">
        <v>30</v>
      </c>
      <c r="K5" s="28" t="s">
        <v>127</v>
      </c>
      <c r="L5" s="7"/>
      <c r="N5" s="7"/>
      <c r="O5" s="22">
        <v>45866.0</v>
      </c>
      <c r="P5" s="22">
        <v>45862.0</v>
      </c>
      <c r="Q5" s="7"/>
      <c r="R5" s="21" t="s">
        <v>23</v>
      </c>
    </row>
    <row r="6">
      <c r="A6" s="19">
        <f t="shared" si="1"/>
        <v>5</v>
      </c>
      <c r="B6" s="7" t="s">
        <v>137</v>
      </c>
      <c r="C6" s="7"/>
      <c r="D6" s="7" t="s">
        <v>124</v>
      </c>
      <c r="E6" s="7" t="s">
        <v>138</v>
      </c>
      <c r="F6" s="7" t="s">
        <v>118</v>
      </c>
      <c r="G6" s="7" t="s">
        <v>18</v>
      </c>
      <c r="H6" s="7" t="s">
        <v>126</v>
      </c>
      <c r="I6" s="21" t="s">
        <v>40</v>
      </c>
      <c r="J6" s="7" t="s">
        <v>30</v>
      </c>
      <c r="K6" s="28" t="s">
        <v>127</v>
      </c>
      <c r="L6" s="7"/>
      <c r="N6" s="7"/>
      <c r="O6" s="22">
        <v>45866.0</v>
      </c>
      <c r="P6" s="22">
        <v>45862.0</v>
      </c>
      <c r="Q6" s="7"/>
      <c r="R6" s="21" t="s">
        <v>23</v>
      </c>
    </row>
    <row r="7">
      <c r="A7" s="19">
        <f t="shared" si="1"/>
        <v>6</v>
      </c>
      <c r="B7" s="7" t="s">
        <v>139</v>
      </c>
      <c r="C7" s="7"/>
      <c r="D7" s="7" t="s">
        <v>124</v>
      </c>
      <c r="E7" s="25" t="s">
        <v>140</v>
      </c>
      <c r="F7" s="7" t="s">
        <v>118</v>
      </c>
      <c r="G7" s="7" t="s">
        <v>18</v>
      </c>
      <c r="H7" s="7" t="s">
        <v>126</v>
      </c>
      <c r="I7" s="21" t="s">
        <v>40</v>
      </c>
      <c r="J7" s="7" t="s">
        <v>30</v>
      </c>
      <c r="K7" s="28" t="s">
        <v>127</v>
      </c>
      <c r="L7" s="7"/>
      <c r="N7" s="7"/>
      <c r="O7" s="22">
        <v>45866.0</v>
      </c>
      <c r="P7" s="22">
        <v>45862.0</v>
      </c>
      <c r="Q7" s="7"/>
      <c r="R7" s="21" t="s">
        <v>23</v>
      </c>
    </row>
    <row r="8">
      <c r="A8" s="19">
        <f t="shared" si="1"/>
        <v>7</v>
      </c>
      <c r="B8" s="7" t="s">
        <v>141</v>
      </c>
      <c r="C8" s="7"/>
      <c r="D8" s="7" t="s">
        <v>124</v>
      </c>
      <c r="E8" s="7" t="s">
        <v>142</v>
      </c>
      <c r="F8" s="7" t="s">
        <v>118</v>
      </c>
      <c r="G8" s="7" t="s">
        <v>18</v>
      </c>
      <c r="H8" s="7" t="s">
        <v>126</v>
      </c>
      <c r="I8" s="21" t="s">
        <v>40</v>
      </c>
      <c r="J8" s="7" t="s">
        <v>30</v>
      </c>
      <c r="K8" s="28" t="s">
        <v>127</v>
      </c>
      <c r="L8" s="7"/>
      <c r="N8" s="7"/>
      <c r="O8" s="22">
        <v>45866.0</v>
      </c>
      <c r="P8" s="22">
        <v>45862.0</v>
      </c>
      <c r="Q8" s="7"/>
      <c r="R8" s="21" t="s">
        <v>23</v>
      </c>
    </row>
    <row r="9">
      <c r="A9" s="19">
        <f t="shared" si="1"/>
        <v>8</v>
      </c>
      <c r="B9" s="7" t="s">
        <v>143</v>
      </c>
      <c r="C9" s="7"/>
      <c r="D9" s="7" t="s">
        <v>144</v>
      </c>
      <c r="E9" s="7" t="s">
        <v>145</v>
      </c>
      <c r="F9" s="7" t="s">
        <v>118</v>
      </c>
      <c r="G9" s="7" t="s">
        <v>18</v>
      </c>
      <c r="H9" s="7" t="s">
        <v>126</v>
      </c>
      <c r="I9" s="21" t="s">
        <v>40</v>
      </c>
      <c r="J9" s="7" t="s">
        <v>30</v>
      </c>
      <c r="K9" s="28" t="s">
        <v>146</v>
      </c>
      <c r="L9" s="7"/>
      <c r="N9" s="7"/>
      <c r="O9" s="22">
        <v>45866.0</v>
      </c>
      <c r="P9" s="22">
        <v>45862.0</v>
      </c>
      <c r="Q9" s="7"/>
      <c r="R9" s="21" t="s">
        <v>23</v>
      </c>
    </row>
    <row r="10">
      <c r="A10" s="19">
        <f t="shared" si="1"/>
        <v>9</v>
      </c>
      <c r="B10" s="7" t="s">
        <v>147</v>
      </c>
      <c r="C10" s="7"/>
      <c r="D10" s="7" t="s">
        <v>148</v>
      </c>
      <c r="E10" s="7" t="s">
        <v>149</v>
      </c>
      <c r="F10" s="7" t="s">
        <v>111</v>
      </c>
      <c r="G10" s="7" t="s">
        <v>18</v>
      </c>
      <c r="H10" s="7" t="s">
        <v>126</v>
      </c>
      <c r="I10" s="21" t="s">
        <v>40</v>
      </c>
      <c r="J10" s="7" t="s">
        <v>30</v>
      </c>
      <c r="K10" s="28" t="s">
        <v>150</v>
      </c>
      <c r="L10" s="7"/>
      <c r="N10" s="7"/>
      <c r="O10" s="22">
        <v>45866.0</v>
      </c>
      <c r="P10" s="22">
        <v>45862.0</v>
      </c>
      <c r="Q10" s="7"/>
      <c r="R10" s="21" t="s">
        <v>23</v>
      </c>
    </row>
    <row r="11">
      <c r="A11" s="19">
        <f t="shared" si="1"/>
        <v>10</v>
      </c>
      <c r="B11" s="7" t="s">
        <v>151</v>
      </c>
      <c r="C11" s="7"/>
      <c r="D11" s="7" t="s">
        <v>132</v>
      </c>
      <c r="E11" s="7" t="s">
        <v>152</v>
      </c>
      <c r="F11" s="7" t="s">
        <v>118</v>
      </c>
      <c r="G11" s="7" t="s">
        <v>18</v>
      </c>
      <c r="H11" s="7" t="s">
        <v>126</v>
      </c>
      <c r="I11" s="21" t="s">
        <v>40</v>
      </c>
      <c r="J11" s="7" t="s">
        <v>30</v>
      </c>
      <c r="K11" s="28" t="s">
        <v>134</v>
      </c>
      <c r="L11" s="7"/>
      <c r="N11" s="7"/>
      <c r="O11" s="22">
        <v>45866.0</v>
      </c>
      <c r="P11" s="22">
        <v>45862.0</v>
      </c>
      <c r="Q11" s="7"/>
      <c r="R11" s="21" t="s">
        <v>23</v>
      </c>
    </row>
    <row r="12">
      <c r="A12" s="19">
        <f t="shared" si="1"/>
        <v>11</v>
      </c>
      <c r="B12" s="7" t="s">
        <v>153</v>
      </c>
      <c r="C12" s="7"/>
      <c r="D12" s="7" t="s">
        <v>124</v>
      </c>
      <c r="E12" s="7" t="s">
        <v>154</v>
      </c>
      <c r="F12" s="7" t="s">
        <v>118</v>
      </c>
      <c r="G12" s="7" t="s">
        <v>18</v>
      </c>
      <c r="H12" s="7" t="s">
        <v>126</v>
      </c>
      <c r="I12" s="21" t="s">
        <v>40</v>
      </c>
      <c r="J12" s="7" t="s">
        <v>30</v>
      </c>
      <c r="K12" s="28" t="s">
        <v>127</v>
      </c>
      <c r="L12" s="7"/>
      <c r="N12" s="7"/>
      <c r="O12" s="22">
        <v>45866.0</v>
      </c>
      <c r="P12" s="22">
        <v>45862.0</v>
      </c>
      <c r="Q12" s="7"/>
      <c r="R12" s="21" t="s">
        <v>23</v>
      </c>
    </row>
    <row r="13">
      <c r="A13" s="19">
        <f t="shared" si="1"/>
        <v>12</v>
      </c>
      <c r="B13" s="7" t="s">
        <v>155</v>
      </c>
      <c r="C13" s="7"/>
      <c r="D13" s="7" t="s">
        <v>156</v>
      </c>
      <c r="E13" s="7" t="s">
        <v>157</v>
      </c>
      <c r="F13" s="7" t="s">
        <v>111</v>
      </c>
      <c r="G13" s="7" t="s">
        <v>18</v>
      </c>
      <c r="H13" s="7" t="s">
        <v>126</v>
      </c>
      <c r="I13" s="21" t="s">
        <v>40</v>
      </c>
      <c r="J13" s="7" t="s">
        <v>30</v>
      </c>
      <c r="K13" s="28" t="s">
        <v>158</v>
      </c>
      <c r="L13" s="7"/>
      <c r="N13" s="7"/>
      <c r="O13" s="22">
        <v>45866.0</v>
      </c>
      <c r="P13" s="22">
        <v>45862.0</v>
      </c>
      <c r="Q13" s="7"/>
      <c r="R13" s="21" t="s">
        <v>23</v>
      </c>
    </row>
    <row r="14">
      <c r="A14" s="19">
        <f t="shared" si="1"/>
        <v>13</v>
      </c>
      <c r="B14" s="7" t="s">
        <v>159</v>
      </c>
      <c r="C14" s="7"/>
      <c r="D14" s="7" t="s">
        <v>124</v>
      </c>
      <c r="E14" s="7" t="s">
        <v>160</v>
      </c>
      <c r="F14" s="7" t="s">
        <v>118</v>
      </c>
      <c r="G14" s="7" t="s">
        <v>18</v>
      </c>
      <c r="H14" s="7" t="s">
        <v>126</v>
      </c>
      <c r="I14" s="21" t="s">
        <v>40</v>
      </c>
      <c r="J14" s="7" t="s">
        <v>30</v>
      </c>
      <c r="K14" s="28" t="s">
        <v>127</v>
      </c>
      <c r="L14" s="7"/>
      <c r="N14" s="7"/>
      <c r="O14" s="22">
        <v>45866.0</v>
      </c>
      <c r="P14" s="22">
        <v>45862.0</v>
      </c>
      <c r="Q14" s="7"/>
      <c r="R14" s="21" t="s">
        <v>23</v>
      </c>
    </row>
    <row r="15">
      <c r="A15" s="19">
        <f t="shared" si="1"/>
        <v>14</v>
      </c>
      <c r="B15" s="7" t="s">
        <v>161</v>
      </c>
      <c r="C15" s="7"/>
      <c r="D15" s="7" t="s">
        <v>124</v>
      </c>
      <c r="E15" s="7" t="s">
        <v>162</v>
      </c>
      <c r="F15" s="7" t="s">
        <v>118</v>
      </c>
      <c r="G15" s="7" t="s">
        <v>18</v>
      </c>
      <c r="H15" s="7" t="s">
        <v>126</v>
      </c>
      <c r="I15" s="21" t="s">
        <v>40</v>
      </c>
      <c r="J15" s="7" t="s">
        <v>30</v>
      </c>
      <c r="K15" s="28" t="s">
        <v>127</v>
      </c>
      <c r="L15" s="7"/>
      <c r="N15" s="7"/>
      <c r="O15" s="22">
        <v>45866.0</v>
      </c>
      <c r="P15" s="22">
        <v>45862.0</v>
      </c>
      <c r="Q15" s="7"/>
      <c r="R15" s="21" t="s">
        <v>23</v>
      </c>
    </row>
    <row r="16">
      <c r="A16" s="19">
        <f t="shared" si="1"/>
        <v>15</v>
      </c>
      <c r="B16" s="7" t="s">
        <v>163</v>
      </c>
      <c r="C16" s="7"/>
      <c r="D16" s="7" t="s">
        <v>164</v>
      </c>
      <c r="E16" s="7" t="s">
        <v>165</v>
      </c>
      <c r="F16" s="7" t="s">
        <v>118</v>
      </c>
      <c r="G16" s="7" t="s">
        <v>18</v>
      </c>
      <c r="H16" s="7" t="s">
        <v>126</v>
      </c>
      <c r="I16" s="21" t="s">
        <v>40</v>
      </c>
      <c r="J16" s="7" t="s">
        <v>30</v>
      </c>
      <c r="K16" s="28" t="s">
        <v>166</v>
      </c>
      <c r="L16" s="7"/>
      <c r="N16" s="7"/>
      <c r="O16" s="22">
        <v>45866.0</v>
      </c>
      <c r="P16" s="22">
        <v>45862.0</v>
      </c>
      <c r="Q16" s="7"/>
      <c r="R16" s="21" t="s">
        <v>23</v>
      </c>
    </row>
    <row r="17">
      <c r="A17" s="19">
        <f t="shared" si="1"/>
        <v>16</v>
      </c>
      <c r="B17" s="7" t="s">
        <v>167</v>
      </c>
      <c r="C17" s="7"/>
      <c r="D17" s="7" t="s">
        <v>124</v>
      </c>
      <c r="E17" s="7" t="s">
        <v>168</v>
      </c>
      <c r="F17" s="7" t="s">
        <v>118</v>
      </c>
      <c r="G17" s="7" t="s">
        <v>18</v>
      </c>
      <c r="H17" s="7" t="s">
        <v>126</v>
      </c>
      <c r="I17" s="21" t="s">
        <v>40</v>
      </c>
      <c r="J17" s="7" t="s">
        <v>30</v>
      </c>
      <c r="K17" s="28" t="s">
        <v>127</v>
      </c>
      <c r="L17" s="7"/>
      <c r="N17" s="7"/>
      <c r="O17" s="22">
        <v>45866.0</v>
      </c>
      <c r="P17" s="22">
        <v>45862.0</v>
      </c>
      <c r="Q17" s="7"/>
      <c r="R17" s="21" t="s">
        <v>23</v>
      </c>
    </row>
    <row r="18">
      <c r="A18" s="19">
        <f t="shared" si="1"/>
        <v>17</v>
      </c>
      <c r="B18" s="7" t="s">
        <v>169</v>
      </c>
      <c r="C18" s="7"/>
      <c r="D18" s="7" t="s">
        <v>124</v>
      </c>
      <c r="E18" s="7" t="s">
        <v>170</v>
      </c>
      <c r="F18" s="7" t="s">
        <v>118</v>
      </c>
      <c r="G18" s="7" t="s">
        <v>18</v>
      </c>
      <c r="H18" s="7" t="s">
        <v>126</v>
      </c>
      <c r="I18" s="21" t="s">
        <v>40</v>
      </c>
      <c r="J18" s="7" t="s">
        <v>30</v>
      </c>
      <c r="K18" s="28" t="s">
        <v>127</v>
      </c>
      <c r="L18" s="7"/>
      <c r="N18" s="7"/>
      <c r="O18" s="22">
        <v>45866.0</v>
      </c>
      <c r="P18" s="22">
        <v>45862.0</v>
      </c>
      <c r="Q18" s="7"/>
      <c r="R18" s="21" t="s">
        <v>23</v>
      </c>
    </row>
    <row r="19">
      <c r="A19" s="19">
        <f t="shared" si="1"/>
        <v>18</v>
      </c>
      <c r="B19" s="7" t="s">
        <v>171</v>
      </c>
      <c r="C19" s="7"/>
      <c r="D19" s="7" t="s">
        <v>164</v>
      </c>
      <c r="E19" s="7" t="s">
        <v>172</v>
      </c>
      <c r="F19" s="7" t="s">
        <v>118</v>
      </c>
      <c r="G19" s="7" t="s">
        <v>18</v>
      </c>
      <c r="H19" s="7" t="s">
        <v>126</v>
      </c>
      <c r="I19" s="21" t="s">
        <v>40</v>
      </c>
      <c r="J19" s="7" t="s">
        <v>30</v>
      </c>
      <c r="K19" s="28" t="s">
        <v>166</v>
      </c>
      <c r="L19" s="7"/>
      <c r="N19" s="7"/>
      <c r="O19" s="22">
        <v>45866.0</v>
      </c>
      <c r="P19" s="22">
        <v>45862.0</v>
      </c>
      <c r="Q19" s="7"/>
      <c r="R19" s="21" t="s">
        <v>23</v>
      </c>
    </row>
    <row r="20">
      <c r="A20" s="19">
        <f t="shared" si="1"/>
        <v>19</v>
      </c>
      <c r="B20" s="7" t="s">
        <v>173</v>
      </c>
      <c r="C20" s="7"/>
      <c r="D20" s="7" t="s">
        <v>124</v>
      </c>
      <c r="E20" s="7" t="s">
        <v>174</v>
      </c>
      <c r="F20" s="7" t="s">
        <v>118</v>
      </c>
      <c r="G20" s="7" t="s">
        <v>18</v>
      </c>
      <c r="H20" s="7" t="s">
        <v>126</v>
      </c>
      <c r="I20" s="21" t="s">
        <v>40</v>
      </c>
      <c r="J20" s="7" t="s">
        <v>30</v>
      </c>
      <c r="K20" s="28" t="s">
        <v>127</v>
      </c>
      <c r="L20" s="7"/>
      <c r="N20" s="7"/>
      <c r="O20" s="22">
        <v>45866.0</v>
      </c>
      <c r="P20" s="22">
        <v>45862.0</v>
      </c>
      <c r="Q20" s="7"/>
      <c r="R20" s="21" t="s">
        <v>23</v>
      </c>
    </row>
    <row r="21">
      <c r="A21" s="19">
        <f t="shared" si="1"/>
        <v>20</v>
      </c>
      <c r="B21" s="7" t="s">
        <v>175</v>
      </c>
      <c r="C21" s="7"/>
      <c r="D21" s="7" t="s">
        <v>124</v>
      </c>
      <c r="E21" s="7" t="s">
        <v>176</v>
      </c>
      <c r="F21" s="7" t="s">
        <v>118</v>
      </c>
      <c r="G21" s="7" t="s">
        <v>18</v>
      </c>
      <c r="H21" s="7" t="s">
        <v>126</v>
      </c>
      <c r="I21" s="21" t="s">
        <v>40</v>
      </c>
      <c r="J21" s="7" t="s">
        <v>30</v>
      </c>
      <c r="K21" s="28" t="s">
        <v>127</v>
      </c>
      <c r="L21" s="7"/>
      <c r="N21" s="7"/>
      <c r="O21" s="22">
        <v>45866.0</v>
      </c>
      <c r="P21" s="22">
        <v>45862.0</v>
      </c>
      <c r="Q21" s="7"/>
      <c r="R21" s="21" t="s">
        <v>23</v>
      </c>
    </row>
    <row r="22">
      <c r="A22" s="19">
        <f t="shared" si="1"/>
        <v>21</v>
      </c>
      <c r="B22" s="7" t="s">
        <v>177</v>
      </c>
      <c r="C22" s="7"/>
      <c r="D22" s="7" t="s">
        <v>178</v>
      </c>
      <c r="E22" s="7" t="s">
        <v>179</v>
      </c>
      <c r="F22" s="7" t="s">
        <v>118</v>
      </c>
      <c r="G22" s="7" t="s">
        <v>18</v>
      </c>
      <c r="H22" s="7" t="s">
        <v>126</v>
      </c>
      <c r="I22" s="21" t="s">
        <v>40</v>
      </c>
      <c r="J22" s="7" t="s">
        <v>30</v>
      </c>
      <c r="K22" s="28" t="s">
        <v>180</v>
      </c>
      <c r="L22" s="7"/>
      <c r="N22" s="7"/>
      <c r="O22" s="22">
        <v>45866.0</v>
      </c>
      <c r="P22" s="22">
        <v>45862.0</v>
      </c>
      <c r="Q22" s="7"/>
      <c r="R22" s="21" t="s">
        <v>23</v>
      </c>
    </row>
    <row r="23">
      <c r="A23" s="19">
        <f t="shared" si="1"/>
        <v>22</v>
      </c>
      <c r="B23" s="7" t="s">
        <v>181</v>
      </c>
      <c r="C23" s="7"/>
      <c r="D23" s="7" t="s">
        <v>124</v>
      </c>
      <c r="E23" s="7" t="s">
        <v>182</v>
      </c>
      <c r="F23" s="7" t="s">
        <v>118</v>
      </c>
      <c r="G23" s="7" t="s">
        <v>18</v>
      </c>
      <c r="H23" s="7" t="s">
        <v>126</v>
      </c>
      <c r="I23" s="21" t="s">
        <v>40</v>
      </c>
      <c r="J23" s="7" t="s">
        <v>30</v>
      </c>
      <c r="K23" s="28" t="s">
        <v>127</v>
      </c>
      <c r="L23" s="7"/>
      <c r="N23" s="7"/>
      <c r="O23" s="22">
        <v>45866.0</v>
      </c>
      <c r="P23" s="22">
        <v>45862.0</v>
      </c>
      <c r="Q23" s="7"/>
      <c r="R23" s="21" t="s">
        <v>23</v>
      </c>
    </row>
    <row r="24">
      <c r="A24" s="19">
        <f t="shared" si="1"/>
        <v>23</v>
      </c>
      <c r="B24" s="7" t="s">
        <v>183</v>
      </c>
      <c r="C24" s="7"/>
      <c r="D24" s="7" t="s">
        <v>124</v>
      </c>
      <c r="E24" s="7" t="s">
        <v>184</v>
      </c>
      <c r="F24" s="7" t="s">
        <v>118</v>
      </c>
      <c r="G24" s="7" t="s">
        <v>18</v>
      </c>
      <c r="H24" s="7" t="s">
        <v>126</v>
      </c>
      <c r="I24" s="21" t="s">
        <v>40</v>
      </c>
      <c r="J24" s="7" t="s">
        <v>30</v>
      </c>
      <c r="K24" s="28" t="s">
        <v>127</v>
      </c>
      <c r="L24" s="7"/>
      <c r="N24" s="7"/>
      <c r="O24" s="22">
        <v>45866.0</v>
      </c>
      <c r="P24" s="22">
        <v>45862.0</v>
      </c>
      <c r="Q24" s="7"/>
      <c r="R24" s="21" t="s">
        <v>23</v>
      </c>
    </row>
    <row r="25">
      <c r="A25" s="19">
        <f t="shared" si="1"/>
        <v>24</v>
      </c>
      <c r="B25" s="7" t="s">
        <v>185</v>
      </c>
      <c r="C25" s="7"/>
      <c r="D25" s="7" t="s">
        <v>124</v>
      </c>
      <c r="E25" s="7" t="s">
        <v>186</v>
      </c>
      <c r="F25" s="7" t="s">
        <v>118</v>
      </c>
      <c r="G25" s="7" t="s">
        <v>18</v>
      </c>
      <c r="H25" s="7" t="s">
        <v>126</v>
      </c>
      <c r="I25" s="21" t="s">
        <v>40</v>
      </c>
      <c r="J25" s="7" t="s">
        <v>30</v>
      </c>
      <c r="K25" s="28" t="s">
        <v>127</v>
      </c>
      <c r="L25" s="7"/>
      <c r="N25" s="7"/>
      <c r="O25" s="22">
        <v>45866.0</v>
      </c>
      <c r="P25" s="22">
        <v>45862.0</v>
      </c>
      <c r="Q25" s="7"/>
      <c r="R25" s="21" t="s">
        <v>23</v>
      </c>
    </row>
    <row r="26">
      <c r="A26" s="19">
        <f t="shared" si="1"/>
        <v>25</v>
      </c>
      <c r="B26" s="7" t="s">
        <v>187</v>
      </c>
      <c r="C26" s="7"/>
      <c r="D26" s="7" t="s">
        <v>124</v>
      </c>
      <c r="E26" s="7" t="s">
        <v>188</v>
      </c>
      <c r="F26" s="7" t="s">
        <v>118</v>
      </c>
      <c r="G26" s="7" t="s">
        <v>18</v>
      </c>
      <c r="H26" s="7" t="s">
        <v>126</v>
      </c>
      <c r="I26" s="21" t="s">
        <v>40</v>
      </c>
      <c r="J26" s="7" t="s">
        <v>30</v>
      </c>
      <c r="K26" s="28" t="s">
        <v>127</v>
      </c>
      <c r="L26" s="7"/>
      <c r="N26" s="7"/>
      <c r="O26" s="22">
        <v>45866.0</v>
      </c>
      <c r="P26" s="22">
        <v>45862.0</v>
      </c>
      <c r="Q26" s="7"/>
      <c r="R26" s="21" t="s">
        <v>23</v>
      </c>
    </row>
    <row r="27">
      <c r="A27" s="19">
        <f t="shared" si="1"/>
        <v>26</v>
      </c>
      <c r="B27" s="7" t="s">
        <v>189</v>
      </c>
      <c r="C27" s="7"/>
      <c r="D27" s="7" t="s">
        <v>124</v>
      </c>
      <c r="E27" s="7" t="s">
        <v>190</v>
      </c>
      <c r="F27" s="7" t="s">
        <v>118</v>
      </c>
      <c r="G27" s="7" t="s">
        <v>18</v>
      </c>
      <c r="H27" s="7" t="s">
        <v>126</v>
      </c>
      <c r="I27" s="21" t="s">
        <v>40</v>
      </c>
      <c r="J27" s="7" t="s">
        <v>30</v>
      </c>
      <c r="K27" s="28" t="s">
        <v>127</v>
      </c>
      <c r="L27" s="7"/>
      <c r="N27" s="7"/>
      <c r="O27" s="22">
        <v>45866.0</v>
      </c>
      <c r="P27" s="22">
        <v>45862.0</v>
      </c>
      <c r="Q27" s="7"/>
      <c r="R27" s="21" t="s">
        <v>23</v>
      </c>
    </row>
    <row r="28">
      <c r="A28" s="19">
        <f t="shared" si="1"/>
        <v>27</v>
      </c>
      <c r="B28" s="7" t="s">
        <v>191</v>
      </c>
      <c r="C28" s="7"/>
      <c r="D28" s="7" t="s">
        <v>124</v>
      </c>
      <c r="E28" s="7" t="s">
        <v>192</v>
      </c>
      <c r="F28" s="7" t="s">
        <v>118</v>
      </c>
      <c r="G28" s="7" t="s">
        <v>18</v>
      </c>
      <c r="H28" s="7" t="s">
        <v>126</v>
      </c>
      <c r="I28" s="21" t="s">
        <v>40</v>
      </c>
      <c r="J28" s="7" t="s">
        <v>30</v>
      </c>
      <c r="K28" s="28" t="s">
        <v>127</v>
      </c>
      <c r="L28" s="7"/>
      <c r="N28" s="7"/>
      <c r="O28" s="22">
        <v>45866.0</v>
      </c>
      <c r="P28" s="22">
        <v>45862.0</v>
      </c>
      <c r="Q28" s="7"/>
      <c r="R28" s="21" t="s">
        <v>23</v>
      </c>
    </row>
    <row r="29">
      <c r="A29" s="19">
        <f t="shared" si="1"/>
        <v>28</v>
      </c>
      <c r="B29" s="7" t="s">
        <v>193</v>
      </c>
      <c r="C29" s="7"/>
      <c r="D29" s="7" t="s">
        <v>148</v>
      </c>
      <c r="E29" s="7" t="s">
        <v>194</v>
      </c>
      <c r="F29" s="7" t="s">
        <v>118</v>
      </c>
      <c r="G29" s="7" t="s">
        <v>18</v>
      </c>
      <c r="H29" s="7" t="s">
        <v>126</v>
      </c>
      <c r="I29" s="21" t="s">
        <v>40</v>
      </c>
      <c r="J29" s="7" t="s">
        <v>30</v>
      </c>
      <c r="K29" s="28" t="s">
        <v>150</v>
      </c>
      <c r="L29" s="7"/>
      <c r="N29" s="7"/>
      <c r="O29" s="22">
        <v>45866.0</v>
      </c>
      <c r="P29" s="22">
        <v>45862.0</v>
      </c>
      <c r="Q29" s="7"/>
      <c r="R29" s="21" t="s">
        <v>23</v>
      </c>
    </row>
    <row r="30">
      <c r="A30" s="19">
        <f t="shared" si="1"/>
        <v>29</v>
      </c>
      <c r="B30" s="7" t="s">
        <v>195</v>
      </c>
      <c r="C30" s="7"/>
      <c r="D30" s="7" t="s">
        <v>148</v>
      </c>
      <c r="E30" s="7" t="s">
        <v>196</v>
      </c>
      <c r="F30" s="7" t="s">
        <v>118</v>
      </c>
      <c r="G30" s="7" t="s">
        <v>18</v>
      </c>
      <c r="H30" s="7" t="s">
        <v>126</v>
      </c>
      <c r="I30" s="21" t="s">
        <v>40</v>
      </c>
      <c r="J30" s="7" t="s">
        <v>30</v>
      </c>
      <c r="K30" s="28" t="s">
        <v>150</v>
      </c>
      <c r="L30" s="7"/>
      <c r="N30" s="7"/>
      <c r="O30" s="22">
        <v>45866.0</v>
      </c>
      <c r="P30" s="22">
        <v>45862.0</v>
      </c>
      <c r="Q30" s="7"/>
      <c r="R30" s="21" t="s">
        <v>23</v>
      </c>
    </row>
    <row r="31">
      <c r="A31" s="19">
        <f t="shared" si="1"/>
        <v>30</v>
      </c>
      <c r="B31" s="7" t="s">
        <v>197</v>
      </c>
      <c r="C31" s="7"/>
      <c r="D31" s="7" t="s">
        <v>164</v>
      </c>
      <c r="E31" s="7" t="s">
        <v>198</v>
      </c>
      <c r="F31" s="7" t="s">
        <v>118</v>
      </c>
      <c r="G31" s="7" t="s">
        <v>18</v>
      </c>
      <c r="H31" s="7" t="s">
        <v>126</v>
      </c>
      <c r="I31" s="21" t="s">
        <v>40</v>
      </c>
      <c r="J31" s="7" t="s">
        <v>30</v>
      </c>
      <c r="K31" s="28" t="s">
        <v>166</v>
      </c>
      <c r="L31" s="7"/>
      <c r="N31" s="7"/>
      <c r="O31" s="22">
        <v>45866.0</v>
      </c>
      <c r="P31" s="22">
        <v>45862.0</v>
      </c>
      <c r="Q31" s="7"/>
      <c r="R31" s="21" t="s">
        <v>23</v>
      </c>
    </row>
    <row r="32">
      <c r="A32" s="19">
        <f t="shared" si="1"/>
        <v>31</v>
      </c>
      <c r="B32" s="7" t="s">
        <v>199</v>
      </c>
      <c r="C32" s="7"/>
      <c r="D32" s="7" t="s">
        <v>200</v>
      </c>
      <c r="E32" s="7" t="s">
        <v>201</v>
      </c>
      <c r="F32" s="7" t="s">
        <v>118</v>
      </c>
      <c r="G32" s="7" t="s">
        <v>18</v>
      </c>
      <c r="H32" s="7" t="s">
        <v>126</v>
      </c>
      <c r="I32" s="21" t="s">
        <v>40</v>
      </c>
      <c r="J32" s="7" t="s">
        <v>30</v>
      </c>
      <c r="K32" s="28" t="s">
        <v>202</v>
      </c>
      <c r="L32" s="7"/>
      <c r="N32" s="7"/>
      <c r="O32" s="22">
        <v>45866.0</v>
      </c>
      <c r="P32" s="22">
        <v>45862.0</v>
      </c>
      <c r="Q32" s="7"/>
      <c r="R32" s="21" t="s">
        <v>23</v>
      </c>
    </row>
    <row r="33">
      <c r="A33" s="19">
        <f t="shared" si="1"/>
        <v>32</v>
      </c>
      <c r="B33" s="7" t="s">
        <v>203</v>
      </c>
      <c r="C33" s="7"/>
      <c r="D33" s="7" t="s">
        <v>124</v>
      </c>
      <c r="E33" s="7" t="s">
        <v>204</v>
      </c>
      <c r="F33" s="7" t="s">
        <v>118</v>
      </c>
      <c r="G33" s="7" t="s">
        <v>18</v>
      </c>
      <c r="H33" s="7" t="s">
        <v>126</v>
      </c>
      <c r="I33" s="21" t="s">
        <v>40</v>
      </c>
      <c r="J33" s="7" t="s">
        <v>30</v>
      </c>
      <c r="K33" s="28" t="s">
        <v>127</v>
      </c>
      <c r="L33" s="7"/>
      <c r="N33" s="7"/>
      <c r="O33" s="22">
        <v>45866.0</v>
      </c>
      <c r="P33" s="22">
        <v>45862.0</v>
      </c>
      <c r="Q33" s="7"/>
      <c r="R33" s="21" t="s">
        <v>23</v>
      </c>
    </row>
    <row r="34">
      <c r="A34" s="19">
        <f t="shared" si="1"/>
        <v>33</v>
      </c>
      <c r="B34" s="7" t="s">
        <v>205</v>
      </c>
      <c r="C34" s="19">
        <v>6.32501587E8</v>
      </c>
      <c r="D34" s="7"/>
      <c r="E34" s="7" t="s">
        <v>206</v>
      </c>
      <c r="F34" s="7" t="s">
        <v>111</v>
      </c>
      <c r="G34" s="7" t="s">
        <v>18</v>
      </c>
      <c r="H34" s="7" t="s">
        <v>207</v>
      </c>
      <c r="I34" s="26" t="s">
        <v>112</v>
      </c>
      <c r="J34" s="7" t="s">
        <v>30</v>
      </c>
      <c r="K34" s="7"/>
      <c r="L34" s="7"/>
      <c r="M34" s="23" t="s">
        <v>208</v>
      </c>
      <c r="N34" s="7"/>
      <c r="O34" s="22">
        <v>45882.0</v>
      </c>
      <c r="P34" s="24">
        <v>45908.0</v>
      </c>
      <c r="Q34" s="7"/>
      <c r="R34" s="21" t="s">
        <v>23</v>
      </c>
    </row>
    <row r="35">
      <c r="A35" s="19">
        <f t="shared" si="1"/>
        <v>34</v>
      </c>
      <c r="B35" s="7" t="s">
        <v>209</v>
      </c>
      <c r="C35" s="19">
        <v>6.32501588E8</v>
      </c>
      <c r="D35" s="7"/>
      <c r="E35" s="7" t="s">
        <v>210</v>
      </c>
      <c r="F35" s="7" t="s">
        <v>111</v>
      </c>
      <c r="G35" s="7" t="s">
        <v>18</v>
      </c>
      <c r="H35" s="7" t="s">
        <v>207</v>
      </c>
      <c r="I35" s="26" t="s">
        <v>112</v>
      </c>
      <c r="J35" s="7" t="s">
        <v>30</v>
      </c>
      <c r="K35" s="7"/>
      <c r="L35" s="7"/>
      <c r="N35" s="7"/>
      <c r="O35" s="22">
        <v>45882.0</v>
      </c>
      <c r="P35" s="24">
        <v>45908.0</v>
      </c>
      <c r="Q35" s="7"/>
      <c r="R35" s="21" t="s">
        <v>23</v>
      </c>
    </row>
    <row r="36">
      <c r="A36" s="19">
        <f t="shared" si="1"/>
        <v>35</v>
      </c>
      <c r="B36" s="7" t="s">
        <v>211</v>
      </c>
      <c r="C36" s="19">
        <v>6.32501589E8</v>
      </c>
      <c r="D36" s="7"/>
      <c r="E36" s="7" t="s">
        <v>212</v>
      </c>
      <c r="F36" s="7" t="s">
        <v>118</v>
      </c>
      <c r="G36" s="7" t="s">
        <v>18</v>
      </c>
      <c r="H36" s="7" t="s">
        <v>207</v>
      </c>
      <c r="I36" s="26" t="s">
        <v>112</v>
      </c>
      <c r="J36" s="7" t="s">
        <v>30</v>
      </c>
      <c r="K36" s="7"/>
      <c r="L36" s="7"/>
      <c r="N36" s="7"/>
      <c r="O36" s="22">
        <v>45882.0</v>
      </c>
      <c r="P36" s="24">
        <v>45908.0</v>
      </c>
      <c r="Q36" s="7"/>
      <c r="R36" s="21" t="s">
        <v>23</v>
      </c>
    </row>
    <row r="37">
      <c r="A37" s="19">
        <f t="shared" si="1"/>
        <v>36</v>
      </c>
      <c r="B37" s="7" t="s">
        <v>213</v>
      </c>
      <c r="C37" s="19">
        <v>6.3250159E8</v>
      </c>
      <c r="D37" s="7"/>
      <c r="E37" s="7" t="s">
        <v>214</v>
      </c>
      <c r="F37" s="7" t="s">
        <v>118</v>
      </c>
      <c r="G37" s="7" t="s">
        <v>18</v>
      </c>
      <c r="H37" s="7" t="s">
        <v>207</v>
      </c>
      <c r="I37" s="26" t="s">
        <v>112</v>
      </c>
      <c r="J37" s="7" t="s">
        <v>30</v>
      </c>
      <c r="K37" s="7"/>
      <c r="L37" s="7"/>
      <c r="N37" s="7"/>
      <c r="O37" s="22">
        <v>45882.0</v>
      </c>
      <c r="P37" s="24">
        <v>45908.0</v>
      </c>
      <c r="Q37" s="7"/>
      <c r="R37" s="21" t="s">
        <v>23</v>
      </c>
    </row>
    <row r="38">
      <c r="A38" s="19">
        <f t="shared" si="1"/>
        <v>37</v>
      </c>
      <c r="B38" s="7" t="s">
        <v>215</v>
      </c>
      <c r="C38" s="19">
        <v>6.32501591E8</v>
      </c>
      <c r="D38" s="7"/>
      <c r="E38" s="7" t="s">
        <v>216</v>
      </c>
      <c r="F38" s="7" t="s">
        <v>118</v>
      </c>
      <c r="G38" s="7" t="s">
        <v>18</v>
      </c>
      <c r="H38" s="7" t="s">
        <v>207</v>
      </c>
      <c r="I38" s="26" t="s">
        <v>112</v>
      </c>
      <c r="J38" s="7" t="s">
        <v>30</v>
      </c>
      <c r="K38" s="7"/>
      <c r="L38" s="7"/>
      <c r="N38" s="7"/>
      <c r="O38" s="22">
        <v>45882.0</v>
      </c>
      <c r="P38" s="24">
        <v>45908.0</v>
      </c>
      <c r="Q38" s="7"/>
      <c r="R38" s="21" t="s">
        <v>23</v>
      </c>
    </row>
    <row r="39">
      <c r="A39" s="19">
        <f t="shared" si="1"/>
        <v>38</v>
      </c>
      <c r="B39" s="7" t="s">
        <v>217</v>
      </c>
      <c r="C39" s="19">
        <v>6.32501592E8</v>
      </c>
      <c r="D39" s="7"/>
      <c r="E39" s="7" t="s">
        <v>218</v>
      </c>
      <c r="F39" s="7" t="s">
        <v>118</v>
      </c>
      <c r="G39" s="7" t="s">
        <v>18</v>
      </c>
      <c r="H39" s="7" t="s">
        <v>207</v>
      </c>
      <c r="I39" s="26" t="s">
        <v>112</v>
      </c>
      <c r="J39" s="7" t="s">
        <v>30</v>
      </c>
      <c r="K39" s="7"/>
      <c r="L39" s="7"/>
      <c r="N39" s="7"/>
      <c r="O39" s="22">
        <v>45882.0</v>
      </c>
      <c r="P39" s="24">
        <v>45908.0</v>
      </c>
      <c r="Q39" s="7"/>
      <c r="R39" s="21" t="s">
        <v>23</v>
      </c>
    </row>
    <row r="40">
      <c r="A40" s="19">
        <f t="shared" si="1"/>
        <v>39</v>
      </c>
      <c r="B40" s="7" t="s">
        <v>219</v>
      </c>
      <c r="C40" s="19">
        <v>6.32501593E8</v>
      </c>
      <c r="D40" s="7"/>
      <c r="E40" s="7" t="s">
        <v>220</v>
      </c>
      <c r="F40" s="7" t="s">
        <v>118</v>
      </c>
      <c r="G40" s="7" t="s">
        <v>18</v>
      </c>
      <c r="H40" s="7" t="s">
        <v>207</v>
      </c>
      <c r="I40" s="26" t="s">
        <v>112</v>
      </c>
      <c r="J40" s="7" t="s">
        <v>30</v>
      </c>
      <c r="K40" s="7"/>
      <c r="L40" s="7"/>
      <c r="N40" s="7"/>
      <c r="O40" s="22">
        <v>45882.0</v>
      </c>
      <c r="P40" s="24">
        <v>45908.0</v>
      </c>
      <c r="Q40" s="7"/>
      <c r="R40" s="21" t="s">
        <v>23</v>
      </c>
    </row>
    <row r="41">
      <c r="A41" s="19">
        <f t="shared" si="1"/>
        <v>40</v>
      </c>
      <c r="B41" s="7" t="s">
        <v>221</v>
      </c>
      <c r="C41" s="19">
        <v>6.32501594E8</v>
      </c>
      <c r="D41" s="7"/>
      <c r="E41" s="7" t="s">
        <v>222</v>
      </c>
      <c r="F41" s="7" t="s">
        <v>118</v>
      </c>
      <c r="G41" s="7" t="s">
        <v>18</v>
      </c>
      <c r="H41" s="7" t="s">
        <v>207</v>
      </c>
      <c r="I41" s="26" t="s">
        <v>112</v>
      </c>
      <c r="J41" s="7" t="s">
        <v>30</v>
      </c>
      <c r="K41" s="7"/>
      <c r="L41" s="7"/>
      <c r="N41" s="7"/>
      <c r="O41" s="22">
        <v>45882.0</v>
      </c>
      <c r="P41" s="24">
        <v>45908.0</v>
      </c>
      <c r="Q41" s="7"/>
      <c r="R41" s="21" t="s">
        <v>23</v>
      </c>
    </row>
    <row r="42">
      <c r="A42" s="19">
        <f t="shared" si="1"/>
        <v>41</v>
      </c>
      <c r="B42" s="7" t="s">
        <v>223</v>
      </c>
      <c r="C42" s="19">
        <v>6.32501595E8</v>
      </c>
      <c r="D42" s="7"/>
      <c r="E42" s="7" t="s">
        <v>224</v>
      </c>
      <c r="F42" s="7" t="s">
        <v>118</v>
      </c>
      <c r="G42" s="7" t="s">
        <v>18</v>
      </c>
      <c r="H42" s="7" t="s">
        <v>207</v>
      </c>
      <c r="I42" s="26" t="s">
        <v>112</v>
      </c>
      <c r="J42" s="7" t="s">
        <v>30</v>
      </c>
      <c r="K42" s="7"/>
      <c r="L42" s="7"/>
      <c r="N42" s="7"/>
      <c r="O42" s="22">
        <v>45882.0</v>
      </c>
      <c r="P42" s="24">
        <v>45908.0</v>
      </c>
      <c r="Q42" s="7"/>
      <c r="R42" s="21" t="s">
        <v>23</v>
      </c>
    </row>
    <row r="43">
      <c r="A43" s="19">
        <f t="shared" si="1"/>
        <v>42</v>
      </c>
      <c r="B43" s="7" t="s">
        <v>225</v>
      </c>
      <c r="C43" s="19">
        <v>6.32501596E8</v>
      </c>
      <c r="D43" s="7"/>
      <c r="E43" s="7" t="s">
        <v>226</v>
      </c>
      <c r="F43" s="7" t="s">
        <v>111</v>
      </c>
      <c r="G43" s="7" t="s">
        <v>18</v>
      </c>
      <c r="H43" s="7" t="s">
        <v>207</v>
      </c>
      <c r="I43" s="26" t="s">
        <v>112</v>
      </c>
      <c r="J43" s="7" t="s">
        <v>30</v>
      </c>
      <c r="K43" s="7"/>
      <c r="L43" s="7"/>
      <c r="N43" s="7"/>
      <c r="O43" s="22">
        <v>45882.0</v>
      </c>
      <c r="P43" s="24">
        <v>45908.0</v>
      </c>
      <c r="Q43" s="7"/>
      <c r="R43" s="21" t="s">
        <v>23</v>
      </c>
    </row>
    <row r="44">
      <c r="A44" s="19">
        <f t="shared" si="1"/>
        <v>43</v>
      </c>
      <c r="B44" s="7" t="s">
        <v>227</v>
      </c>
      <c r="C44" s="19">
        <v>6.32501598E8</v>
      </c>
      <c r="D44" s="7"/>
      <c r="E44" s="7" t="s">
        <v>228</v>
      </c>
      <c r="F44" s="7" t="s">
        <v>118</v>
      </c>
      <c r="G44" s="7" t="s">
        <v>18</v>
      </c>
      <c r="H44" s="7" t="s">
        <v>207</v>
      </c>
      <c r="I44" s="26" t="s">
        <v>112</v>
      </c>
      <c r="J44" s="7" t="s">
        <v>30</v>
      </c>
      <c r="K44" s="7"/>
      <c r="L44" s="7"/>
      <c r="N44" s="7"/>
      <c r="O44" s="22">
        <v>45882.0</v>
      </c>
      <c r="P44" s="24">
        <v>45908.0</v>
      </c>
      <c r="Q44" s="7"/>
      <c r="R44" s="21" t="s">
        <v>23</v>
      </c>
    </row>
    <row r="45">
      <c r="A45" s="19">
        <f t="shared" si="1"/>
        <v>44</v>
      </c>
      <c r="B45" s="7" t="s">
        <v>229</v>
      </c>
      <c r="C45" s="19">
        <v>6.32501599E8</v>
      </c>
      <c r="D45" s="7"/>
      <c r="E45" s="7" t="s">
        <v>230</v>
      </c>
      <c r="F45" s="7" t="s">
        <v>118</v>
      </c>
      <c r="G45" s="7" t="s">
        <v>18</v>
      </c>
      <c r="H45" s="7" t="s">
        <v>207</v>
      </c>
      <c r="I45" s="26" t="s">
        <v>112</v>
      </c>
      <c r="J45" s="7" t="s">
        <v>30</v>
      </c>
      <c r="K45" s="7"/>
      <c r="L45" s="7"/>
      <c r="N45" s="7"/>
      <c r="O45" s="22">
        <v>45882.0</v>
      </c>
      <c r="P45" s="24">
        <v>45908.0</v>
      </c>
      <c r="Q45" s="7"/>
      <c r="R45" s="21" t="s">
        <v>23</v>
      </c>
    </row>
    <row r="46">
      <c r="A46" s="19">
        <f t="shared" si="1"/>
        <v>45</v>
      </c>
      <c r="B46" s="7" t="s">
        <v>231</v>
      </c>
      <c r="C46" s="19">
        <v>6.325016E8</v>
      </c>
      <c r="D46" s="7"/>
      <c r="E46" s="7" t="s">
        <v>232</v>
      </c>
      <c r="F46" s="7" t="s">
        <v>118</v>
      </c>
      <c r="G46" s="7" t="s">
        <v>18</v>
      </c>
      <c r="H46" s="7" t="s">
        <v>207</v>
      </c>
      <c r="I46" s="26" t="s">
        <v>112</v>
      </c>
      <c r="J46" s="7" t="s">
        <v>30</v>
      </c>
      <c r="K46" s="7"/>
      <c r="L46" s="7"/>
      <c r="N46" s="7"/>
      <c r="O46" s="22">
        <v>45882.0</v>
      </c>
      <c r="P46" s="24">
        <v>45908.0</v>
      </c>
      <c r="Q46" s="7"/>
      <c r="R46" s="21" t="s">
        <v>23</v>
      </c>
    </row>
    <row r="47">
      <c r="A47" s="19">
        <f t="shared" si="1"/>
        <v>46</v>
      </c>
      <c r="B47" s="7" t="s">
        <v>233</v>
      </c>
      <c r="C47" s="19">
        <v>6.32501601E8</v>
      </c>
      <c r="D47" s="7"/>
      <c r="E47" s="7" t="s">
        <v>234</v>
      </c>
      <c r="F47" s="7" t="s">
        <v>118</v>
      </c>
      <c r="G47" s="7" t="s">
        <v>18</v>
      </c>
      <c r="H47" s="7" t="s">
        <v>207</v>
      </c>
      <c r="I47" s="26" t="s">
        <v>112</v>
      </c>
      <c r="J47" s="7" t="s">
        <v>30</v>
      </c>
      <c r="K47" s="7"/>
      <c r="L47" s="7"/>
      <c r="N47" s="7"/>
      <c r="O47" s="22">
        <v>45882.0</v>
      </c>
      <c r="P47" s="24">
        <v>45908.0</v>
      </c>
      <c r="Q47" s="7"/>
      <c r="R47" s="21" t="s">
        <v>23</v>
      </c>
    </row>
    <row r="48">
      <c r="A48" s="19">
        <f t="shared" si="1"/>
        <v>47</v>
      </c>
      <c r="B48" s="7" t="s">
        <v>235</v>
      </c>
      <c r="C48" s="19">
        <v>6.32501602E8</v>
      </c>
      <c r="D48" s="7"/>
      <c r="E48" s="7" t="s">
        <v>236</v>
      </c>
      <c r="F48" s="7" t="s">
        <v>118</v>
      </c>
      <c r="G48" s="7" t="s">
        <v>18</v>
      </c>
      <c r="H48" s="7" t="s">
        <v>207</v>
      </c>
      <c r="I48" s="26" t="s">
        <v>112</v>
      </c>
      <c r="J48" s="7" t="s">
        <v>30</v>
      </c>
      <c r="K48" s="7"/>
      <c r="L48" s="7"/>
      <c r="N48" s="7"/>
      <c r="O48" s="22">
        <v>45882.0</v>
      </c>
      <c r="P48" s="24">
        <v>45908.0</v>
      </c>
      <c r="Q48" s="7"/>
      <c r="R48" s="21" t="s">
        <v>23</v>
      </c>
    </row>
    <row r="49">
      <c r="A49" s="19">
        <f t="shared" si="1"/>
        <v>48</v>
      </c>
      <c r="B49" s="7" t="s">
        <v>237</v>
      </c>
      <c r="C49" s="19">
        <v>6.32501603E8</v>
      </c>
      <c r="D49" s="7"/>
      <c r="E49" s="7" t="s">
        <v>238</v>
      </c>
      <c r="F49" s="7" t="s">
        <v>111</v>
      </c>
      <c r="G49" s="7" t="s">
        <v>18</v>
      </c>
      <c r="H49" s="7" t="s">
        <v>207</v>
      </c>
      <c r="I49" s="26" t="s">
        <v>112</v>
      </c>
      <c r="J49" s="7" t="s">
        <v>30</v>
      </c>
      <c r="K49" s="7"/>
      <c r="L49" s="7"/>
      <c r="N49" s="7"/>
      <c r="O49" s="22">
        <v>45882.0</v>
      </c>
      <c r="P49" s="24">
        <v>45908.0</v>
      </c>
      <c r="Q49" s="7"/>
      <c r="R49" s="21" t="s">
        <v>23</v>
      </c>
    </row>
    <row r="50">
      <c r="A50" s="19">
        <f t="shared" si="1"/>
        <v>49</v>
      </c>
      <c r="B50" s="7" t="s">
        <v>239</v>
      </c>
      <c r="C50" s="19">
        <v>6.32501604E8</v>
      </c>
      <c r="D50" s="7"/>
      <c r="E50" s="7" t="s">
        <v>240</v>
      </c>
      <c r="F50" s="7" t="s">
        <v>118</v>
      </c>
      <c r="G50" s="7" t="s">
        <v>18</v>
      </c>
      <c r="H50" s="7" t="s">
        <v>207</v>
      </c>
      <c r="I50" s="26" t="s">
        <v>112</v>
      </c>
      <c r="J50" s="7" t="s">
        <v>30</v>
      </c>
      <c r="K50" s="7"/>
      <c r="L50" s="7"/>
      <c r="N50" s="7"/>
      <c r="O50" s="22">
        <v>45882.0</v>
      </c>
      <c r="P50" s="24">
        <v>45908.0</v>
      </c>
      <c r="Q50" s="7"/>
      <c r="R50" s="21" t="s">
        <v>23</v>
      </c>
    </row>
    <row r="51">
      <c r="A51" s="19">
        <f t="shared" si="1"/>
        <v>50</v>
      </c>
      <c r="B51" s="7" t="s">
        <v>241</v>
      </c>
      <c r="C51" s="19">
        <v>6.32501605E8</v>
      </c>
      <c r="D51" s="7"/>
      <c r="E51" s="7" t="s">
        <v>242</v>
      </c>
      <c r="F51" s="7" t="s">
        <v>118</v>
      </c>
      <c r="G51" s="7" t="s">
        <v>18</v>
      </c>
      <c r="H51" s="7" t="s">
        <v>207</v>
      </c>
      <c r="I51" s="26" t="s">
        <v>112</v>
      </c>
      <c r="J51" s="7" t="s">
        <v>30</v>
      </c>
      <c r="K51" s="7"/>
      <c r="L51" s="7"/>
      <c r="N51" s="7"/>
      <c r="O51" s="22">
        <v>45882.0</v>
      </c>
      <c r="P51" s="24">
        <v>45908.0</v>
      </c>
      <c r="Q51" s="7"/>
      <c r="R51" s="21" t="s">
        <v>23</v>
      </c>
    </row>
    <row r="52">
      <c r="A52" s="19">
        <f t="shared" si="1"/>
        <v>51</v>
      </c>
      <c r="B52" s="7" t="s">
        <v>243</v>
      </c>
      <c r="C52" s="19">
        <v>6.32501606E8</v>
      </c>
      <c r="D52" s="7"/>
      <c r="E52" s="7" t="s">
        <v>244</v>
      </c>
      <c r="F52" s="7" t="s">
        <v>111</v>
      </c>
      <c r="G52" s="7" t="s">
        <v>18</v>
      </c>
      <c r="H52" s="7" t="s">
        <v>207</v>
      </c>
      <c r="I52" s="26" t="s">
        <v>112</v>
      </c>
      <c r="J52" s="7" t="s">
        <v>30</v>
      </c>
      <c r="K52" s="7"/>
      <c r="L52" s="7"/>
      <c r="N52" s="7"/>
      <c r="O52" s="22">
        <v>45882.0</v>
      </c>
      <c r="P52" s="24">
        <v>45908.0</v>
      </c>
      <c r="Q52" s="7"/>
      <c r="R52" s="21" t="s">
        <v>23</v>
      </c>
    </row>
  </sheetData>
  <mergeCells count="2">
    <mergeCell ref="M2:M33"/>
    <mergeCell ref="M34:M52"/>
  </mergeCells>
  <dataValidations>
    <dataValidation type="list" allowBlank="1" showErrorMessage="1" sqref="R1:R52">
      <formula1>"Released,Ongoing,pending"</formula1>
    </dataValidation>
  </dataValidations>
  <hyperlinks>
    <hyperlink r:id="rId1" ref="M34"/>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4.88"/>
    <col customWidth="1" min="3" max="3" width="18.75"/>
    <col customWidth="1" min="4" max="4" width="26.75"/>
    <col customWidth="1" min="5" max="5" width="26.38"/>
    <col customWidth="1" min="8" max="8" width="42.88"/>
    <col customWidth="1" min="9" max="9" width="23.5"/>
    <col customWidth="1" min="10" max="10" width="15.25"/>
    <col customWidth="1" hidden="1" min="11" max="11" width="81.0"/>
    <col customWidth="1" min="12" max="12" width="17.0"/>
    <col customWidth="1" min="13" max="13" width="16.13"/>
    <col customWidth="1" min="14" max="15" width="21.38"/>
    <col customWidth="1" min="16" max="17" width="24.75"/>
    <col customWidth="1" min="18" max="18" width="22.0"/>
  </cols>
  <sheetData>
    <row r="1">
      <c r="A1" s="1" t="s">
        <v>0</v>
      </c>
      <c r="B1" s="1" t="s">
        <v>1</v>
      </c>
      <c r="C1" s="1" t="s">
        <v>2</v>
      </c>
      <c r="D1" s="1" t="s">
        <v>3</v>
      </c>
      <c r="E1" s="1" t="s">
        <v>4</v>
      </c>
      <c r="F1" s="2" t="s">
        <v>33</v>
      </c>
      <c r="G1" s="1" t="s">
        <v>5</v>
      </c>
      <c r="H1" s="17" t="s">
        <v>34</v>
      </c>
      <c r="I1" s="17" t="s">
        <v>6</v>
      </c>
      <c r="J1" s="1" t="s">
        <v>7</v>
      </c>
      <c r="K1" s="2" t="s">
        <v>35</v>
      </c>
      <c r="L1" s="1" t="s">
        <v>9</v>
      </c>
      <c r="M1" s="2" t="s">
        <v>245</v>
      </c>
      <c r="N1" s="2" t="s">
        <v>246</v>
      </c>
      <c r="O1" s="2" t="s">
        <v>36</v>
      </c>
      <c r="P1" s="1" t="s">
        <v>11</v>
      </c>
      <c r="Q1" s="2" t="s">
        <v>12</v>
      </c>
      <c r="R1" s="1" t="s">
        <v>13</v>
      </c>
      <c r="S1" s="29" t="s">
        <v>14</v>
      </c>
      <c r="T1" s="18" t="s">
        <v>15</v>
      </c>
    </row>
    <row r="2">
      <c r="A2" s="19">
        <f t="shared" ref="A2:A7" si="1">ROW(A2)-1</f>
        <v>1</v>
      </c>
      <c r="B2" s="9"/>
      <c r="C2" s="9"/>
      <c r="D2" s="9" t="s">
        <v>247</v>
      </c>
      <c r="E2" s="9" t="s">
        <v>248</v>
      </c>
      <c r="F2" s="9"/>
      <c r="G2" s="9" t="s">
        <v>249</v>
      </c>
      <c r="H2" s="9" t="s">
        <v>250</v>
      </c>
      <c r="I2" s="21" t="s">
        <v>40</v>
      </c>
      <c r="J2" s="9" t="s">
        <v>251</v>
      </c>
      <c r="K2" s="30" t="s">
        <v>252</v>
      </c>
      <c r="L2" s="31">
        <v>45895.0</v>
      </c>
      <c r="M2" s="31">
        <f t="shared" ref="M2:M7" si="2">L2+12</f>
        <v>45907</v>
      </c>
      <c r="N2" s="31">
        <f t="shared" ref="N2:N7" si="3">L2+21</f>
        <v>45916</v>
      </c>
      <c r="O2" s="32"/>
      <c r="P2" s="9"/>
      <c r="Q2" s="31">
        <v>45910.0</v>
      </c>
      <c r="R2" s="7"/>
      <c r="S2" s="7"/>
      <c r="T2" s="33" t="s">
        <v>23</v>
      </c>
    </row>
    <row r="3">
      <c r="A3" s="19">
        <f t="shared" si="1"/>
        <v>2</v>
      </c>
      <c r="B3" s="9" t="s">
        <v>253</v>
      </c>
      <c r="C3" s="34">
        <v>7.92507745E8</v>
      </c>
      <c r="D3" s="9"/>
      <c r="E3" s="9" t="s">
        <v>254</v>
      </c>
      <c r="F3" s="9" t="s">
        <v>118</v>
      </c>
      <c r="G3" s="9" t="s">
        <v>249</v>
      </c>
      <c r="H3" s="9" t="s">
        <v>255</v>
      </c>
      <c r="I3" s="9"/>
      <c r="J3" s="9" t="s">
        <v>256</v>
      </c>
      <c r="K3" s="9" t="s">
        <v>257</v>
      </c>
      <c r="L3" s="31">
        <v>45896.0</v>
      </c>
      <c r="M3" s="31">
        <f t="shared" si="2"/>
        <v>45908</v>
      </c>
      <c r="N3" s="31">
        <f t="shared" si="3"/>
        <v>45917</v>
      </c>
      <c r="O3" s="7"/>
      <c r="P3" s="7"/>
      <c r="Q3" s="31">
        <v>45913.0</v>
      </c>
      <c r="R3" s="7"/>
      <c r="S3" s="7"/>
      <c r="T3" s="33" t="s">
        <v>23</v>
      </c>
    </row>
    <row r="4">
      <c r="A4" s="19">
        <f t="shared" si="1"/>
        <v>3</v>
      </c>
      <c r="B4" s="9" t="s">
        <v>258</v>
      </c>
      <c r="C4" s="34">
        <v>6.32502022E8</v>
      </c>
      <c r="D4" s="9"/>
      <c r="E4" s="9" t="s">
        <v>259</v>
      </c>
      <c r="F4" s="9" t="s">
        <v>111</v>
      </c>
      <c r="G4" s="9" t="s">
        <v>249</v>
      </c>
      <c r="H4" s="9" t="s">
        <v>255</v>
      </c>
      <c r="I4" s="9"/>
      <c r="J4" s="9" t="s">
        <v>256</v>
      </c>
      <c r="K4" s="9" t="s">
        <v>260</v>
      </c>
      <c r="L4" s="31">
        <v>45891.0</v>
      </c>
      <c r="M4" s="31">
        <f t="shared" si="2"/>
        <v>45903</v>
      </c>
      <c r="N4" s="31">
        <f t="shared" si="3"/>
        <v>45912</v>
      </c>
      <c r="O4" s="7"/>
      <c r="P4" s="7"/>
      <c r="Q4" s="31">
        <v>45913.0</v>
      </c>
      <c r="R4" s="7"/>
      <c r="S4" s="7"/>
      <c r="T4" s="33" t="s">
        <v>23</v>
      </c>
    </row>
    <row r="5">
      <c r="A5" s="19">
        <f t="shared" si="1"/>
        <v>4</v>
      </c>
      <c r="B5" s="9" t="s">
        <v>261</v>
      </c>
      <c r="C5" s="34">
        <v>7.92508006E8</v>
      </c>
      <c r="D5" s="9"/>
      <c r="E5" s="9" t="s">
        <v>262</v>
      </c>
      <c r="F5" s="9" t="s">
        <v>111</v>
      </c>
      <c r="G5" s="9" t="s">
        <v>249</v>
      </c>
      <c r="H5" s="9" t="s">
        <v>263</v>
      </c>
      <c r="I5" s="21" t="s">
        <v>264</v>
      </c>
      <c r="J5" s="9" t="s">
        <v>256</v>
      </c>
      <c r="K5" s="9"/>
      <c r="L5" s="31">
        <v>45901.0</v>
      </c>
      <c r="M5" s="31">
        <f t="shared" si="2"/>
        <v>45913</v>
      </c>
      <c r="N5" s="31">
        <f t="shared" si="3"/>
        <v>45922</v>
      </c>
      <c r="O5" s="7"/>
      <c r="P5" s="7"/>
      <c r="Q5" s="35">
        <v>45920.0</v>
      </c>
      <c r="R5" s="7"/>
      <c r="S5" s="7"/>
      <c r="T5" s="33" t="s">
        <v>23</v>
      </c>
    </row>
    <row r="6">
      <c r="A6" s="19">
        <f t="shared" si="1"/>
        <v>5</v>
      </c>
      <c r="B6" s="9" t="s">
        <v>265</v>
      </c>
      <c r="C6" s="34">
        <v>7.92508007E8</v>
      </c>
      <c r="D6" s="9"/>
      <c r="E6" s="9" t="s">
        <v>266</v>
      </c>
      <c r="F6" s="9" t="s">
        <v>111</v>
      </c>
      <c r="G6" s="9" t="s">
        <v>249</v>
      </c>
      <c r="H6" s="9" t="s">
        <v>263</v>
      </c>
      <c r="I6" s="21" t="s">
        <v>264</v>
      </c>
      <c r="J6" s="9" t="s">
        <v>256</v>
      </c>
      <c r="K6" s="9"/>
      <c r="L6" s="31">
        <v>45901.0</v>
      </c>
      <c r="M6" s="31">
        <f t="shared" si="2"/>
        <v>45913</v>
      </c>
      <c r="N6" s="31">
        <f t="shared" si="3"/>
        <v>45922</v>
      </c>
      <c r="O6" s="7"/>
      <c r="P6" s="7"/>
      <c r="Q6" s="35">
        <v>45920.0</v>
      </c>
      <c r="R6" s="7"/>
      <c r="S6" s="7"/>
      <c r="T6" s="33" t="s">
        <v>23</v>
      </c>
    </row>
    <row r="7">
      <c r="A7" s="19">
        <f t="shared" si="1"/>
        <v>6</v>
      </c>
      <c r="B7" s="9" t="s">
        <v>267</v>
      </c>
      <c r="C7" s="34">
        <v>7.92508008E8</v>
      </c>
      <c r="D7" s="9"/>
      <c r="E7" s="9" t="s">
        <v>268</v>
      </c>
      <c r="F7" s="9" t="s">
        <v>118</v>
      </c>
      <c r="G7" s="9" t="s">
        <v>249</v>
      </c>
      <c r="H7" s="9" t="s">
        <v>269</v>
      </c>
      <c r="I7" s="21" t="s">
        <v>264</v>
      </c>
      <c r="J7" s="9" t="s">
        <v>256</v>
      </c>
      <c r="K7" s="9"/>
      <c r="L7" s="31">
        <v>45901.0</v>
      </c>
      <c r="M7" s="31">
        <f t="shared" si="2"/>
        <v>45913</v>
      </c>
      <c r="N7" s="31">
        <f t="shared" si="3"/>
        <v>45922</v>
      </c>
      <c r="O7" s="7"/>
      <c r="P7" s="7"/>
      <c r="Q7" s="35">
        <v>45920.0</v>
      </c>
      <c r="R7" s="7"/>
      <c r="S7" s="7"/>
      <c r="T7" s="33" t="s">
        <v>23</v>
      </c>
    </row>
    <row r="8">
      <c r="B8" s="21"/>
      <c r="C8" s="21"/>
      <c r="M8" s="31"/>
      <c r="T8" s="36"/>
    </row>
    <row r="9">
      <c r="M9" s="31"/>
      <c r="T9" s="36"/>
    </row>
    <row r="10">
      <c r="M10" s="31"/>
      <c r="T10" s="36"/>
    </row>
    <row r="11">
      <c r="M11" s="31"/>
      <c r="T11" s="36"/>
    </row>
    <row r="12">
      <c r="T12" s="36"/>
    </row>
    <row r="13">
      <c r="T13" s="36"/>
    </row>
    <row r="14">
      <c r="T14" s="36"/>
    </row>
    <row r="15">
      <c r="T15" s="36"/>
    </row>
    <row r="16">
      <c r="T16" s="36"/>
    </row>
    <row r="17">
      <c r="T17" s="36"/>
    </row>
    <row r="18">
      <c r="T18" s="36"/>
    </row>
    <row r="19">
      <c r="T19" s="36"/>
    </row>
    <row r="20">
      <c r="T20" s="36"/>
    </row>
    <row r="21">
      <c r="T21" s="36"/>
    </row>
    <row r="22">
      <c r="T22" s="36"/>
    </row>
    <row r="23">
      <c r="T23" s="36"/>
    </row>
    <row r="24">
      <c r="T24" s="36"/>
    </row>
    <row r="25">
      <c r="T25" s="36"/>
    </row>
    <row r="26">
      <c r="T26" s="36"/>
    </row>
    <row r="27">
      <c r="T27" s="36"/>
    </row>
    <row r="28">
      <c r="T28" s="36"/>
    </row>
    <row r="29">
      <c r="T29" s="36"/>
    </row>
    <row r="30">
      <c r="T30" s="36"/>
    </row>
    <row r="31">
      <c r="T31" s="36"/>
    </row>
    <row r="32">
      <c r="T32" s="36"/>
    </row>
    <row r="33">
      <c r="T33" s="36"/>
    </row>
    <row r="34">
      <c r="T34" s="36"/>
    </row>
    <row r="35">
      <c r="T35" s="36"/>
    </row>
    <row r="36">
      <c r="T36" s="36"/>
    </row>
    <row r="37">
      <c r="T37" s="36"/>
    </row>
    <row r="38">
      <c r="T38" s="36"/>
    </row>
    <row r="39">
      <c r="T39" s="36"/>
    </row>
    <row r="40">
      <c r="T40" s="36"/>
    </row>
    <row r="41">
      <c r="T41" s="36"/>
    </row>
    <row r="42">
      <c r="T42" s="36"/>
    </row>
    <row r="43">
      <c r="T43" s="36"/>
    </row>
    <row r="44">
      <c r="T44" s="36"/>
    </row>
    <row r="45">
      <c r="T45" s="36"/>
    </row>
    <row r="46">
      <c r="T46" s="36"/>
    </row>
    <row r="47">
      <c r="T47" s="36"/>
    </row>
    <row r="48">
      <c r="T48" s="36"/>
    </row>
    <row r="49">
      <c r="T49" s="36"/>
    </row>
    <row r="50">
      <c r="T50" s="36"/>
    </row>
    <row r="51">
      <c r="T51" s="36"/>
    </row>
    <row r="52">
      <c r="T52" s="36"/>
    </row>
    <row r="53">
      <c r="T53" s="36"/>
    </row>
    <row r="54">
      <c r="T54" s="36"/>
    </row>
    <row r="55">
      <c r="T55" s="36"/>
    </row>
    <row r="56">
      <c r="T56" s="36"/>
    </row>
    <row r="57">
      <c r="T57" s="36"/>
    </row>
    <row r="58">
      <c r="T58" s="36"/>
    </row>
    <row r="59">
      <c r="T59" s="36"/>
    </row>
    <row r="60">
      <c r="T60" s="36"/>
    </row>
    <row r="61">
      <c r="T61" s="36"/>
    </row>
    <row r="62">
      <c r="T62" s="36"/>
    </row>
    <row r="63">
      <c r="T63" s="36"/>
    </row>
    <row r="64">
      <c r="T64" s="36"/>
    </row>
    <row r="65">
      <c r="T65" s="36"/>
    </row>
    <row r="66">
      <c r="T66" s="36"/>
    </row>
    <row r="67">
      <c r="T67" s="36"/>
    </row>
    <row r="68">
      <c r="T68" s="36"/>
    </row>
    <row r="69">
      <c r="T69" s="36"/>
    </row>
    <row r="70">
      <c r="T70" s="36"/>
    </row>
    <row r="71">
      <c r="T71" s="36"/>
    </row>
    <row r="72">
      <c r="T72" s="36"/>
    </row>
    <row r="73">
      <c r="T73" s="36"/>
    </row>
    <row r="74">
      <c r="T74" s="36"/>
    </row>
    <row r="75">
      <c r="T75" s="36"/>
    </row>
    <row r="76">
      <c r="T76" s="36"/>
    </row>
    <row r="77">
      <c r="T77" s="36"/>
    </row>
    <row r="78">
      <c r="T78" s="36"/>
    </row>
    <row r="79">
      <c r="T79" s="36"/>
    </row>
    <row r="80">
      <c r="T80" s="36"/>
    </row>
    <row r="81">
      <c r="T81" s="36"/>
    </row>
    <row r="82">
      <c r="T82" s="36"/>
    </row>
    <row r="83">
      <c r="T83" s="36"/>
    </row>
    <row r="84">
      <c r="T84" s="36"/>
    </row>
    <row r="85">
      <c r="T85" s="36"/>
    </row>
    <row r="86">
      <c r="T86" s="36"/>
    </row>
    <row r="87">
      <c r="T87" s="36"/>
    </row>
    <row r="88">
      <c r="T88" s="36"/>
    </row>
    <row r="89">
      <c r="T89" s="36"/>
    </row>
    <row r="90">
      <c r="T90" s="36"/>
    </row>
    <row r="91">
      <c r="T91" s="36"/>
    </row>
    <row r="92">
      <c r="T92" s="36"/>
    </row>
    <row r="93">
      <c r="T93" s="36"/>
    </row>
    <row r="94">
      <c r="T94" s="36"/>
    </row>
    <row r="95">
      <c r="T95" s="36"/>
    </row>
    <row r="96">
      <c r="T96" s="36"/>
    </row>
    <row r="97">
      <c r="T97" s="36"/>
    </row>
    <row r="98">
      <c r="T98" s="36"/>
    </row>
    <row r="99">
      <c r="T99" s="36"/>
    </row>
    <row r="100">
      <c r="T100" s="36"/>
    </row>
    <row r="101">
      <c r="T101" s="36"/>
    </row>
    <row r="102">
      <c r="T102" s="36"/>
    </row>
    <row r="103">
      <c r="T103" s="36"/>
    </row>
    <row r="104">
      <c r="T104" s="36"/>
    </row>
    <row r="105">
      <c r="T105" s="36"/>
    </row>
    <row r="106">
      <c r="T106" s="36"/>
    </row>
    <row r="107">
      <c r="T107" s="36"/>
    </row>
    <row r="108">
      <c r="T108" s="36"/>
    </row>
    <row r="109">
      <c r="T109" s="36"/>
    </row>
    <row r="110">
      <c r="T110" s="36"/>
    </row>
    <row r="111">
      <c r="T111" s="36"/>
    </row>
    <row r="112">
      <c r="T112" s="36"/>
    </row>
    <row r="113">
      <c r="T113" s="36"/>
    </row>
    <row r="114">
      <c r="T114" s="36"/>
    </row>
    <row r="115">
      <c r="T115" s="36"/>
    </row>
    <row r="116">
      <c r="T116" s="36"/>
    </row>
    <row r="117">
      <c r="T117" s="36"/>
    </row>
    <row r="118">
      <c r="T118" s="36"/>
    </row>
    <row r="119">
      <c r="T119" s="36"/>
    </row>
    <row r="120">
      <c r="T120" s="36"/>
    </row>
    <row r="121">
      <c r="T121" s="36"/>
    </row>
    <row r="122">
      <c r="T122" s="36"/>
    </row>
    <row r="123">
      <c r="T123" s="36"/>
    </row>
    <row r="124">
      <c r="T124" s="36"/>
    </row>
    <row r="125">
      <c r="T125" s="36"/>
    </row>
    <row r="126">
      <c r="T126" s="36"/>
    </row>
    <row r="127">
      <c r="T127" s="36"/>
    </row>
    <row r="128">
      <c r="T128" s="36"/>
    </row>
    <row r="129">
      <c r="T129" s="36"/>
    </row>
    <row r="130">
      <c r="T130" s="36"/>
    </row>
    <row r="131">
      <c r="T131" s="36"/>
    </row>
    <row r="132">
      <c r="T132" s="36"/>
    </row>
    <row r="133">
      <c r="T133" s="36"/>
    </row>
    <row r="134">
      <c r="T134" s="36"/>
    </row>
    <row r="135">
      <c r="T135" s="36"/>
    </row>
    <row r="136">
      <c r="T136" s="36"/>
    </row>
    <row r="137">
      <c r="T137" s="36"/>
    </row>
    <row r="138">
      <c r="T138" s="36"/>
    </row>
    <row r="139">
      <c r="T139" s="36"/>
    </row>
    <row r="140">
      <c r="T140" s="36"/>
    </row>
    <row r="141">
      <c r="T141" s="36"/>
    </row>
    <row r="142">
      <c r="T142" s="36"/>
    </row>
    <row r="143">
      <c r="T143" s="36"/>
    </row>
    <row r="144">
      <c r="T144" s="36"/>
    </row>
    <row r="145">
      <c r="T145" s="36"/>
    </row>
    <row r="146">
      <c r="T146" s="36"/>
    </row>
    <row r="147">
      <c r="T147" s="36"/>
    </row>
    <row r="148">
      <c r="T148" s="36"/>
    </row>
    <row r="149">
      <c r="T149" s="36"/>
    </row>
    <row r="150">
      <c r="T150" s="36"/>
    </row>
    <row r="151">
      <c r="T151" s="36"/>
    </row>
    <row r="152">
      <c r="T152" s="36"/>
    </row>
    <row r="153">
      <c r="T153" s="36"/>
    </row>
    <row r="154">
      <c r="T154" s="36"/>
    </row>
    <row r="155">
      <c r="T155" s="36"/>
    </row>
    <row r="156">
      <c r="T156" s="36"/>
    </row>
    <row r="157">
      <c r="T157" s="36"/>
    </row>
    <row r="158">
      <c r="T158" s="36"/>
    </row>
    <row r="159">
      <c r="T159" s="36"/>
    </row>
    <row r="160">
      <c r="T160" s="36"/>
    </row>
    <row r="161">
      <c r="T161" s="36"/>
    </row>
    <row r="162">
      <c r="T162" s="36"/>
    </row>
    <row r="163">
      <c r="T163" s="36"/>
    </row>
    <row r="164">
      <c r="T164" s="36"/>
    </row>
    <row r="165">
      <c r="T165" s="36"/>
    </row>
    <row r="166">
      <c r="T166" s="36"/>
    </row>
    <row r="167">
      <c r="T167" s="36"/>
    </row>
    <row r="168">
      <c r="T168" s="36"/>
    </row>
    <row r="169">
      <c r="T169" s="36"/>
    </row>
    <row r="170">
      <c r="T170" s="36"/>
    </row>
    <row r="171">
      <c r="T171" s="36"/>
    </row>
    <row r="172">
      <c r="T172" s="36"/>
    </row>
    <row r="173">
      <c r="T173" s="36"/>
    </row>
    <row r="174">
      <c r="T174" s="36"/>
    </row>
    <row r="175">
      <c r="T175" s="36"/>
    </row>
    <row r="176">
      <c r="T176" s="36"/>
    </row>
    <row r="177">
      <c r="T177" s="36"/>
    </row>
    <row r="178">
      <c r="T178" s="36"/>
    </row>
    <row r="179">
      <c r="T179" s="36"/>
    </row>
    <row r="180">
      <c r="T180" s="36"/>
    </row>
    <row r="181">
      <c r="T181" s="36"/>
    </row>
    <row r="182">
      <c r="T182" s="36"/>
    </row>
    <row r="183">
      <c r="T183" s="36"/>
    </row>
    <row r="184">
      <c r="T184" s="36"/>
    </row>
    <row r="185">
      <c r="T185" s="36"/>
    </row>
    <row r="186">
      <c r="T186" s="36"/>
    </row>
    <row r="187">
      <c r="T187" s="36"/>
    </row>
    <row r="188">
      <c r="T188" s="36"/>
    </row>
    <row r="189">
      <c r="T189" s="36"/>
    </row>
    <row r="190">
      <c r="T190" s="36"/>
    </row>
    <row r="191">
      <c r="T191" s="36"/>
    </row>
    <row r="192">
      <c r="T192" s="36"/>
    </row>
    <row r="193">
      <c r="T193" s="36"/>
    </row>
    <row r="194">
      <c r="T194" s="36"/>
    </row>
    <row r="195">
      <c r="T195" s="36"/>
    </row>
    <row r="196">
      <c r="T196" s="36"/>
    </row>
    <row r="197">
      <c r="T197" s="36"/>
    </row>
    <row r="198">
      <c r="T198" s="36"/>
    </row>
    <row r="199">
      <c r="T199" s="36"/>
    </row>
    <row r="200">
      <c r="T200" s="36"/>
    </row>
    <row r="201">
      <c r="T201" s="36"/>
    </row>
    <row r="202">
      <c r="T202" s="36"/>
    </row>
    <row r="203">
      <c r="T203" s="36"/>
    </row>
    <row r="204">
      <c r="T204" s="36"/>
    </row>
    <row r="205">
      <c r="T205" s="36"/>
    </row>
    <row r="206">
      <c r="T206" s="36"/>
    </row>
    <row r="207">
      <c r="T207" s="36"/>
    </row>
    <row r="208">
      <c r="T208" s="36"/>
    </row>
    <row r="209">
      <c r="T209" s="36"/>
    </row>
    <row r="210">
      <c r="T210" s="36"/>
    </row>
    <row r="211">
      <c r="T211" s="36"/>
    </row>
    <row r="212">
      <c r="T212" s="36"/>
    </row>
    <row r="213">
      <c r="T213" s="36"/>
    </row>
    <row r="214">
      <c r="T214" s="36"/>
    </row>
    <row r="215">
      <c r="T215" s="36"/>
    </row>
    <row r="216">
      <c r="T216" s="36"/>
    </row>
    <row r="217">
      <c r="T217" s="36"/>
    </row>
    <row r="218">
      <c r="T218" s="36"/>
    </row>
    <row r="219">
      <c r="T219" s="36"/>
    </row>
    <row r="220">
      <c r="T220" s="36"/>
    </row>
    <row r="221">
      <c r="T221" s="36"/>
    </row>
    <row r="222">
      <c r="T222" s="36"/>
    </row>
    <row r="223">
      <c r="T223" s="36"/>
    </row>
    <row r="224">
      <c r="T224" s="36"/>
    </row>
    <row r="225">
      <c r="T225" s="36"/>
    </row>
    <row r="226">
      <c r="T226" s="36"/>
    </row>
    <row r="227">
      <c r="T227" s="36"/>
    </row>
    <row r="228">
      <c r="T228" s="36"/>
    </row>
    <row r="229">
      <c r="T229" s="36"/>
    </row>
    <row r="230">
      <c r="T230" s="36"/>
    </row>
    <row r="231">
      <c r="T231" s="36"/>
    </row>
    <row r="232">
      <c r="T232" s="36"/>
    </row>
    <row r="233">
      <c r="T233" s="36"/>
    </row>
    <row r="234">
      <c r="T234" s="36"/>
    </row>
    <row r="235">
      <c r="T235" s="36"/>
    </row>
    <row r="236">
      <c r="T236" s="36"/>
    </row>
    <row r="237">
      <c r="T237" s="36"/>
    </row>
    <row r="238">
      <c r="T238" s="36"/>
    </row>
    <row r="239">
      <c r="T239" s="36"/>
    </row>
    <row r="240">
      <c r="T240" s="36"/>
    </row>
    <row r="241">
      <c r="T241" s="36"/>
    </row>
    <row r="242">
      <c r="T242" s="36"/>
    </row>
    <row r="243">
      <c r="T243" s="36"/>
    </row>
    <row r="244">
      <c r="T244" s="36"/>
    </row>
    <row r="245">
      <c r="T245" s="36"/>
    </row>
    <row r="246">
      <c r="T246" s="36"/>
    </row>
    <row r="247">
      <c r="T247" s="36"/>
    </row>
    <row r="248">
      <c r="T248" s="36"/>
    </row>
    <row r="249">
      <c r="T249" s="36"/>
    </row>
    <row r="250">
      <c r="T250" s="36"/>
    </row>
    <row r="251">
      <c r="T251" s="36"/>
    </row>
    <row r="252">
      <c r="T252" s="36"/>
    </row>
    <row r="253">
      <c r="T253" s="36"/>
    </row>
    <row r="254">
      <c r="T254" s="36"/>
    </row>
    <row r="255">
      <c r="T255" s="36"/>
    </row>
    <row r="256">
      <c r="T256" s="36"/>
    </row>
    <row r="257">
      <c r="T257" s="36"/>
    </row>
    <row r="258">
      <c r="T258" s="36"/>
    </row>
    <row r="259">
      <c r="T259" s="36"/>
    </row>
    <row r="260">
      <c r="T260" s="36"/>
    </row>
    <row r="261">
      <c r="T261" s="36"/>
    </row>
    <row r="262">
      <c r="T262" s="36"/>
    </row>
    <row r="263">
      <c r="T263" s="36"/>
    </row>
    <row r="264">
      <c r="T264" s="36"/>
    </row>
    <row r="265">
      <c r="T265" s="36"/>
    </row>
    <row r="266">
      <c r="T266" s="36"/>
    </row>
    <row r="267">
      <c r="T267" s="36"/>
    </row>
    <row r="268">
      <c r="T268" s="36"/>
    </row>
    <row r="269">
      <c r="T269" s="36"/>
    </row>
    <row r="270">
      <c r="T270" s="36"/>
    </row>
    <row r="271">
      <c r="T271" s="36"/>
    </row>
    <row r="272">
      <c r="T272" s="36"/>
    </row>
    <row r="273">
      <c r="T273" s="36"/>
    </row>
    <row r="274">
      <c r="T274" s="36"/>
    </row>
    <row r="275">
      <c r="T275" s="36"/>
    </row>
    <row r="276">
      <c r="T276" s="36"/>
    </row>
    <row r="277">
      <c r="T277" s="36"/>
    </row>
    <row r="278">
      <c r="T278" s="36"/>
    </row>
    <row r="279">
      <c r="T279" s="36"/>
    </row>
    <row r="280">
      <c r="T280" s="36"/>
    </row>
    <row r="281">
      <c r="T281" s="36"/>
    </row>
    <row r="282">
      <c r="T282" s="36"/>
    </row>
    <row r="283">
      <c r="T283" s="36"/>
    </row>
    <row r="284">
      <c r="T284" s="36"/>
    </row>
    <row r="285">
      <c r="T285" s="36"/>
    </row>
    <row r="286">
      <c r="T286" s="36"/>
    </row>
    <row r="287">
      <c r="T287" s="36"/>
    </row>
    <row r="288">
      <c r="T288" s="36"/>
    </row>
    <row r="289">
      <c r="T289" s="36"/>
    </row>
    <row r="290">
      <c r="T290" s="36"/>
    </row>
    <row r="291">
      <c r="T291" s="36"/>
    </row>
    <row r="292">
      <c r="T292" s="36"/>
    </row>
    <row r="293">
      <c r="T293" s="36"/>
    </row>
    <row r="294">
      <c r="T294" s="36"/>
    </row>
    <row r="295">
      <c r="T295" s="36"/>
    </row>
    <row r="296">
      <c r="T296" s="36"/>
    </row>
    <row r="297">
      <c r="T297" s="36"/>
    </row>
    <row r="298">
      <c r="T298" s="36"/>
    </row>
    <row r="299">
      <c r="T299" s="36"/>
    </row>
    <row r="300">
      <c r="T300" s="36"/>
    </row>
    <row r="301">
      <c r="T301" s="36"/>
    </row>
    <row r="302">
      <c r="T302" s="36"/>
    </row>
    <row r="303">
      <c r="T303" s="36"/>
    </row>
    <row r="304">
      <c r="T304" s="36"/>
    </row>
    <row r="305">
      <c r="T305" s="36"/>
    </row>
    <row r="306">
      <c r="T306" s="36"/>
    </row>
    <row r="307">
      <c r="T307" s="36"/>
    </row>
    <row r="308">
      <c r="T308" s="36"/>
    </row>
    <row r="309">
      <c r="T309" s="36"/>
    </row>
    <row r="310">
      <c r="T310" s="36"/>
    </row>
    <row r="311">
      <c r="T311" s="36"/>
    </row>
    <row r="312">
      <c r="T312" s="36"/>
    </row>
    <row r="313">
      <c r="T313" s="36"/>
    </row>
    <row r="314">
      <c r="T314" s="36"/>
    </row>
    <row r="315">
      <c r="T315" s="36"/>
    </row>
    <row r="316">
      <c r="T316" s="36"/>
    </row>
    <row r="317">
      <c r="T317" s="36"/>
    </row>
    <row r="318">
      <c r="T318" s="36"/>
    </row>
    <row r="319">
      <c r="T319" s="36"/>
    </row>
    <row r="320">
      <c r="T320" s="36"/>
    </row>
    <row r="321">
      <c r="T321" s="36"/>
    </row>
    <row r="322">
      <c r="T322" s="36"/>
    </row>
    <row r="323">
      <c r="T323" s="36"/>
    </row>
    <row r="324">
      <c r="T324" s="36"/>
    </row>
    <row r="325">
      <c r="T325" s="36"/>
    </row>
    <row r="326">
      <c r="T326" s="36"/>
    </row>
    <row r="327">
      <c r="T327" s="36"/>
    </row>
    <row r="328">
      <c r="T328" s="36"/>
    </row>
    <row r="329">
      <c r="T329" s="36"/>
    </row>
    <row r="330">
      <c r="T330" s="36"/>
    </row>
    <row r="331">
      <c r="T331" s="36"/>
    </row>
    <row r="332">
      <c r="T332" s="36"/>
    </row>
    <row r="333">
      <c r="T333" s="36"/>
    </row>
    <row r="334">
      <c r="T334" s="36"/>
    </row>
    <row r="335">
      <c r="T335" s="36"/>
    </row>
    <row r="336">
      <c r="T336" s="36"/>
    </row>
    <row r="337">
      <c r="T337" s="36"/>
    </row>
    <row r="338">
      <c r="T338" s="36"/>
    </row>
    <row r="339">
      <c r="T339" s="36"/>
    </row>
    <row r="340">
      <c r="T340" s="36"/>
    </row>
    <row r="341">
      <c r="T341" s="36"/>
    </row>
    <row r="342">
      <c r="T342" s="36"/>
    </row>
    <row r="343">
      <c r="T343" s="36"/>
    </row>
    <row r="344">
      <c r="T344" s="36"/>
    </row>
    <row r="345">
      <c r="T345" s="36"/>
    </row>
    <row r="346">
      <c r="T346" s="36"/>
    </row>
    <row r="347">
      <c r="T347" s="36"/>
    </row>
    <row r="348">
      <c r="T348" s="36"/>
    </row>
    <row r="349">
      <c r="T349" s="36"/>
    </row>
    <row r="350">
      <c r="T350" s="36"/>
    </row>
    <row r="351">
      <c r="T351" s="36"/>
    </row>
    <row r="352">
      <c r="T352" s="36"/>
    </row>
    <row r="353">
      <c r="T353" s="36"/>
    </row>
    <row r="354">
      <c r="T354" s="36"/>
    </row>
    <row r="355">
      <c r="T355" s="36"/>
    </row>
    <row r="356">
      <c r="T356" s="36"/>
    </row>
    <row r="357">
      <c r="T357" s="36"/>
    </row>
    <row r="358">
      <c r="T358" s="36"/>
    </row>
    <row r="359">
      <c r="T359" s="36"/>
    </row>
    <row r="360">
      <c r="T360" s="36"/>
    </row>
    <row r="361">
      <c r="T361" s="36"/>
    </row>
    <row r="362">
      <c r="T362" s="36"/>
    </row>
    <row r="363">
      <c r="T363" s="36"/>
    </row>
    <row r="364">
      <c r="T364" s="36"/>
    </row>
    <row r="365">
      <c r="T365" s="36"/>
    </row>
    <row r="366">
      <c r="T366" s="36"/>
    </row>
    <row r="367">
      <c r="T367" s="36"/>
    </row>
    <row r="368">
      <c r="T368" s="36"/>
    </row>
    <row r="369">
      <c r="T369" s="36"/>
    </row>
    <row r="370">
      <c r="T370" s="36"/>
    </row>
    <row r="371">
      <c r="T371" s="36"/>
    </row>
    <row r="372">
      <c r="T372" s="36"/>
    </row>
    <row r="373">
      <c r="T373" s="36"/>
    </row>
    <row r="374">
      <c r="T374" s="36"/>
    </row>
    <row r="375">
      <c r="T375" s="36"/>
    </row>
    <row r="376">
      <c r="T376" s="36"/>
    </row>
    <row r="377">
      <c r="T377" s="36"/>
    </row>
    <row r="378">
      <c r="T378" s="36"/>
    </row>
    <row r="379">
      <c r="T379" s="36"/>
    </row>
    <row r="380">
      <c r="T380" s="36"/>
    </row>
    <row r="381">
      <c r="T381" s="36"/>
    </row>
    <row r="382">
      <c r="T382" s="36"/>
    </row>
    <row r="383">
      <c r="T383" s="36"/>
    </row>
    <row r="384">
      <c r="T384" s="36"/>
    </row>
    <row r="385">
      <c r="T385" s="36"/>
    </row>
    <row r="386">
      <c r="T386" s="36"/>
    </row>
    <row r="387">
      <c r="T387" s="36"/>
    </row>
    <row r="388">
      <c r="T388" s="36"/>
    </row>
    <row r="389">
      <c r="T389" s="36"/>
    </row>
    <row r="390">
      <c r="T390" s="36"/>
    </row>
    <row r="391">
      <c r="T391" s="36"/>
    </row>
    <row r="392">
      <c r="T392" s="36"/>
    </row>
    <row r="393">
      <c r="T393" s="36"/>
    </row>
    <row r="394">
      <c r="T394" s="36"/>
    </row>
    <row r="395">
      <c r="T395" s="36"/>
    </row>
    <row r="396">
      <c r="T396" s="36"/>
    </row>
    <row r="397">
      <c r="T397" s="36"/>
    </row>
    <row r="398">
      <c r="T398" s="36"/>
    </row>
    <row r="399">
      <c r="T399" s="36"/>
    </row>
    <row r="400">
      <c r="T400" s="36"/>
    </row>
    <row r="401">
      <c r="T401" s="36"/>
    </row>
    <row r="402">
      <c r="T402" s="36"/>
    </row>
    <row r="403">
      <c r="T403" s="36"/>
    </row>
    <row r="404">
      <c r="T404" s="36"/>
    </row>
    <row r="405">
      <c r="T405" s="36"/>
    </row>
    <row r="406">
      <c r="T406" s="36"/>
    </row>
    <row r="407">
      <c r="T407" s="36"/>
    </row>
    <row r="408">
      <c r="T408" s="36"/>
    </row>
    <row r="409">
      <c r="T409" s="36"/>
    </row>
    <row r="410">
      <c r="T410" s="36"/>
    </row>
    <row r="411">
      <c r="T411" s="36"/>
    </row>
    <row r="412">
      <c r="T412" s="36"/>
    </row>
    <row r="413">
      <c r="T413" s="36"/>
    </row>
    <row r="414">
      <c r="T414" s="36"/>
    </row>
    <row r="415">
      <c r="T415" s="36"/>
    </row>
    <row r="416">
      <c r="T416" s="36"/>
    </row>
    <row r="417">
      <c r="T417" s="36"/>
    </row>
    <row r="418">
      <c r="T418" s="36"/>
    </row>
    <row r="419">
      <c r="T419" s="36"/>
    </row>
    <row r="420">
      <c r="T420" s="36"/>
    </row>
    <row r="421">
      <c r="T421" s="36"/>
    </row>
    <row r="422">
      <c r="T422" s="36"/>
    </row>
    <row r="423">
      <c r="T423" s="36"/>
    </row>
    <row r="424">
      <c r="T424" s="36"/>
    </row>
    <row r="425">
      <c r="T425" s="36"/>
    </row>
    <row r="426">
      <c r="T426" s="36"/>
    </row>
    <row r="427">
      <c r="T427" s="36"/>
    </row>
    <row r="428">
      <c r="T428" s="36"/>
    </row>
    <row r="429">
      <c r="T429" s="36"/>
    </row>
    <row r="430">
      <c r="T430" s="36"/>
    </row>
    <row r="431">
      <c r="T431" s="36"/>
    </row>
    <row r="432">
      <c r="T432" s="36"/>
    </row>
    <row r="433">
      <c r="T433" s="36"/>
    </row>
    <row r="434">
      <c r="T434" s="36"/>
    </row>
    <row r="435">
      <c r="T435" s="36"/>
    </row>
    <row r="436">
      <c r="T436" s="36"/>
    </row>
    <row r="437">
      <c r="T437" s="36"/>
    </row>
    <row r="438">
      <c r="T438" s="36"/>
    </row>
    <row r="439">
      <c r="T439" s="36"/>
    </row>
    <row r="440">
      <c r="T440" s="36"/>
    </row>
    <row r="441">
      <c r="T441" s="36"/>
    </row>
    <row r="442">
      <c r="T442" s="36"/>
    </row>
    <row r="443">
      <c r="T443" s="36"/>
    </row>
    <row r="444">
      <c r="T444" s="36"/>
    </row>
    <row r="445">
      <c r="T445" s="36"/>
    </row>
    <row r="446">
      <c r="T446" s="36"/>
    </row>
    <row r="447">
      <c r="T447" s="36"/>
    </row>
    <row r="448">
      <c r="T448" s="36"/>
    </row>
    <row r="449">
      <c r="T449" s="36"/>
    </row>
    <row r="450">
      <c r="T450" s="36"/>
    </row>
    <row r="451">
      <c r="T451" s="36"/>
    </row>
    <row r="452">
      <c r="T452" s="36"/>
    </row>
    <row r="453">
      <c r="T453" s="36"/>
    </row>
    <row r="454">
      <c r="T454" s="36"/>
    </row>
    <row r="455">
      <c r="T455" s="36"/>
    </row>
    <row r="456">
      <c r="T456" s="36"/>
    </row>
    <row r="457">
      <c r="T457" s="36"/>
    </row>
    <row r="458">
      <c r="T458" s="36"/>
    </row>
    <row r="459">
      <c r="T459" s="36"/>
    </row>
    <row r="460">
      <c r="T460" s="36"/>
    </row>
    <row r="461">
      <c r="T461" s="36"/>
    </row>
    <row r="462">
      <c r="T462" s="36"/>
    </row>
    <row r="463">
      <c r="T463" s="36"/>
    </row>
    <row r="464">
      <c r="T464" s="36"/>
    </row>
    <row r="465">
      <c r="T465" s="36"/>
    </row>
    <row r="466">
      <c r="T466" s="36"/>
    </row>
    <row r="467">
      <c r="T467" s="36"/>
    </row>
    <row r="468">
      <c r="T468" s="36"/>
    </row>
    <row r="469">
      <c r="T469" s="36"/>
    </row>
    <row r="470">
      <c r="T470" s="36"/>
    </row>
    <row r="471">
      <c r="T471" s="36"/>
    </row>
    <row r="472">
      <c r="T472" s="36"/>
    </row>
    <row r="473">
      <c r="T473" s="36"/>
    </row>
    <row r="474">
      <c r="T474" s="36"/>
    </row>
    <row r="475">
      <c r="T475" s="36"/>
    </row>
    <row r="476">
      <c r="T476" s="36"/>
    </row>
    <row r="477">
      <c r="T477" s="36"/>
    </row>
    <row r="478">
      <c r="T478" s="36"/>
    </row>
    <row r="479">
      <c r="T479" s="36"/>
    </row>
    <row r="480">
      <c r="T480" s="36"/>
    </row>
    <row r="481">
      <c r="T481" s="36"/>
    </row>
    <row r="482">
      <c r="T482" s="36"/>
    </row>
    <row r="483">
      <c r="T483" s="36"/>
    </row>
    <row r="484">
      <c r="T484" s="36"/>
    </row>
    <row r="485">
      <c r="T485" s="36"/>
    </row>
    <row r="486">
      <c r="T486" s="36"/>
    </row>
    <row r="487">
      <c r="T487" s="36"/>
    </row>
    <row r="488">
      <c r="T488" s="36"/>
    </row>
    <row r="489">
      <c r="T489" s="36"/>
    </row>
    <row r="490">
      <c r="T490" s="36"/>
    </row>
    <row r="491">
      <c r="T491" s="36"/>
    </row>
    <row r="492">
      <c r="T492" s="36"/>
    </row>
    <row r="493">
      <c r="T493" s="36"/>
    </row>
    <row r="494">
      <c r="T494" s="36"/>
    </row>
    <row r="495">
      <c r="T495" s="36"/>
    </row>
    <row r="496">
      <c r="T496" s="36"/>
    </row>
    <row r="497">
      <c r="T497" s="36"/>
    </row>
    <row r="498">
      <c r="T498" s="36"/>
    </row>
    <row r="499">
      <c r="T499" s="36"/>
    </row>
    <row r="500">
      <c r="T500" s="36"/>
    </row>
    <row r="501">
      <c r="T501" s="36"/>
    </row>
    <row r="502">
      <c r="T502" s="36"/>
    </row>
    <row r="503">
      <c r="T503" s="36"/>
    </row>
    <row r="504">
      <c r="T504" s="36"/>
    </row>
    <row r="505">
      <c r="T505" s="36"/>
    </row>
    <row r="506">
      <c r="T506" s="36"/>
    </row>
    <row r="507">
      <c r="T507" s="36"/>
    </row>
    <row r="508">
      <c r="T508" s="36"/>
    </row>
    <row r="509">
      <c r="T509" s="36"/>
    </row>
    <row r="510">
      <c r="T510" s="36"/>
    </row>
    <row r="511">
      <c r="T511" s="36"/>
    </row>
    <row r="512">
      <c r="T512" s="36"/>
    </row>
    <row r="513">
      <c r="T513" s="36"/>
    </row>
    <row r="514">
      <c r="T514" s="36"/>
    </row>
    <row r="515">
      <c r="T515" s="36"/>
    </row>
    <row r="516">
      <c r="T516" s="36"/>
    </row>
    <row r="517">
      <c r="T517" s="36"/>
    </row>
    <row r="518">
      <c r="T518" s="36"/>
    </row>
    <row r="519">
      <c r="T519" s="36"/>
    </row>
    <row r="520">
      <c r="T520" s="36"/>
    </row>
    <row r="521">
      <c r="T521" s="36"/>
    </row>
    <row r="522">
      <c r="T522" s="36"/>
    </row>
    <row r="523">
      <c r="T523" s="36"/>
    </row>
    <row r="524">
      <c r="T524" s="36"/>
    </row>
    <row r="525">
      <c r="T525" s="36"/>
    </row>
    <row r="526">
      <c r="T526" s="36"/>
    </row>
    <row r="527">
      <c r="T527" s="36"/>
    </row>
    <row r="528">
      <c r="T528" s="36"/>
    </row>
    <row r="529">
      <c r="T529" s="36"/>
    </row>
    <row r="530">
      <c r="T530" s="36"/>
    </row>
    <row r="531">
      <c r="T531" s="36"/>
    </row>
    <row r="532">
      <c r="T532" s="36"/>
    </row>
    <row r="533">
      <c r="T533" s="36"/>
    </row>
    <row r="534">
      <c r="T534" s="36"/>
    </row>
    <row r="535">
      <c r="T535" s="36"/>
    </row>
    <row r="536">
      <c r="T536" s="36"/>
    </row>
    <row r="537">
      <c r="T537" s="36"/>
    </row>
    <row r="538">
      <c r="T538" s="36"/>
    </row>
    <row r="539">
      <c r="T539" s="36"/>
    </row>
    <row r="540">
      <c r="T540" s="36"/>
    </row>
    <row r="541">
      <c r="T541" s="36"/>
    </row>
    <row r="542">
      <c r="T542" s="36"/>
    </row>
    <row r="543">
      <c r="T543" s="36"/>
    </row>
    <row r="544">
      <c r="T544" s="36"/>
    </row>
    <row r="545">
      <c r="T545" s="36"/>
    </row>
    <row r="546">
      <c r="T546" s="36"/>
    </row>
    <row r="547">
      <c r="T547" s="36"/>
    </row>
    <row r="548">
      <c r="T548" s="36"/>
    </row>
    <row r="549">
      <c r="T549" s="36"/>
    </row>
    <row r="550">
      <c r="T550" s="36"/>
    </row>
    <row r="551">
      <c r="T551" s="36"/>
    </row>
    <row r="552">
      <c r="T552" s="36"/>
    </row>
    <row r="553">
      <c r="T553" s="36"/>
    </row>
    <row r="554">
      <c r="T554" s="36"/>
    </row>
    <row r="555">
      <c r="T555" s="36"/>
    </row>
    <row r="556">
      <c r="T556" s="36"/>
    </row>
    <row r="557">
      <c r="T557" s="36"/>
    </row>
    <row r="558">
      <c r="T558" s="36"/>
    </row>
    <row r="559">
      <c r="T559" s="36"/>
    </row>
    <row r="560">
      <c r="T560" s="36"/>
    </row>
    <row r="561">
      <c r="T561" s="36"/>
    </row>
    <row r="562">
      <c r="T562" s="36"/>
    </row>
    <row r="563">
      <c r="T563" s="36"/>
    </row>
    <row r="564">
      <c r="T564" s="36"/>
    </row>
    <row r="565">
      <c r="T565" s="36"/>
    </row>
    <row r="566">
      <c r="T566" s="36"/>
    </row>
    <row r="567">
      <c r="T567" s="36"/>
    </row>
    <row r="568">
      <c r="T568" s="36"/>
    </row>
    <row r="569">
      <c r="T569" s="36"/>
    </row>
    <row r="570">
      <c r="T570" s="36"/>
    </row>
    <row r="571">
      <c r="T571" s="36"/>
    </row>
    <row r="572">
      <c r="T572" s="36"/>
    </row>
    <row r="573">
      <c r="T573" s="36"/>
    </row>
    <row r="574">
      <c r="T574" s="36"/>
    </row>
    <row r="575">
      <c r="T575" s="36"/>
    </row>
    <row r="576">
      <c r="T576" s="36"/>
    </row>
    <row r="577">
      <c r="T577" s="36"/>
    </row>
    <row r="578">
      <c r="T578" s="36"/>
    </row>
    <row r="579">
      <c r="T579" s="36"/>
    </row>
    <row r="580">
      <c r="T580" s="36"/>
    </row>
    <row r="581">
      <c r="T581" s="36"/>
    </row>
    <row r="582">
      <c r="T582" s="36"/>
    </row>
    <row r="583">
      <c r="T583" s="36"/>
    </row>
    <row r="584">
      <c r="T584" s="36"/>
    </row>
    <row r="585">
      <c r="T585" s="36"/>
    </row>
    <row r="586">
      <c r="T586" s="36"/>
    </row>
    <row r="587">
      <c r="T587" s="36"/>
    </row>
    <row r="588">
      <c r="T588" s="36"/>
    </row>
    <row r="589">
      <c r="T589" s="36"/>
    </row>
    <row r="590">
      <c r="T590" s="36"/>
    </row>
    <row r="591">
      <c r="T591" s="36"/>
    </row>
    <row r="592">
      <c r="T592" s="36"/>
    </row>
    <row r="593">
      <c r="T593" s="36"/>
    </row>
    <row r="594">
      <c r="T594" s="36"/>
    </row>
    <row r="595">
      <c r="T595" s="36"/>
    </row>
    <row r="596">
      <c r="T596" s="36"/>
    </row>
    <row r="597">
      <c r="T597" s="36"/>
    </row>
    <row r="598">
      <c r="T598" s="36"/>
    </row>
    <row r="599">
      <c r="T599" s="36"/>
    </row>
    <row r="600">
      <c r="T600" s="36"/>
    </row>
    <row r="601">
      <c r="T601" s="36"/>
    </row>
    <row r="602">
      <c r="T602" s="36"/>
    </row>
    <row r="603">
      <c r="T603" s="36"/>
    </row>
    <row r="604">
      <c r="T604" s="36"/>
    </row>
    <row r="605">
      <c r="T605" s="36"/>
    </row>
    <row r="606">
      <c r="T606" s="36"/>
    </row>
    <row r="607">
      <c r="T607" s="36"/>
    </row>
    <row r="608">
      <c r="T608" s="36"/>
    </row>
    <row r="609">
      <c r="T609" s="36"/>
    </row>
    <row r="610">
      <c r="T610" s="36"/>
    </row>
    <row r="611">
      <c r="T611" s="36"/>
    </row>
    <row r="612">
      <c r="T612" s="36"/>
    </row>
    <row r="613">
      <c r="T613" s="36"/>
    </row>
    <row r="614">
      <c r="T614" s="36"/>
    </row>
    <row r="615">
      <c r="T615" s="36"/>
    </row>
    <row r="616">
      <c r="T616" s="36"/>
    </row>
    <row r="617">
      <c r="T617" s="36"/>
    </row>
    <row r="618">
      <c r="T618" s="36"/>
    </row>
    <row r="619">
      <c r="T619" s="36"/>
    </row>
    <row r="620">
      <c r="T620" s="36"/>
    </row>
    <row r="621">
      <c r="T621" s="36"/>
    </row>
    <row r="622">
      <c r="T622" s="36"/>
    </row>
    <row r="623">
      <c r="T623" s="36"/>
    </row>
    <row r="624">
      <c r="T624" s="36"/>
    </row>
    <row r="625">
      <c r="T625" s="36"/>
    </row>
    <row r="626">
      <c r="T626" s="36"/>
    </row>
    <row r="627">
      <c r="T627" s="36"/>
    </row>
    <row r="628">
      <c r="T628" s="36"/>
    </row>
    <row r="629">
      <c r="T629" s="36"/>
    </row>
    <row r="630">
      <c r="T630" s="36"/>
    </row>
    <row r="631">
      <c r="T631" s="36"/>
    </row>
    <row r="632">
      <c r="T632" s="36"/>
    </row>
    <row r="633">
      <c r="T633" s="36"/>
    </row>
    <row r="634">
      <c r="T634" s="36"/>
    </row>
    <row r="635">
      <c r="T635" s="36"/>
    </row>
    <row r="636">
      <c r="T636" s="36"/>
    </row>
    <row r="637">
      <c r="T637" s="36"/>
    </row>
    <row r="638">
      <c r="T638" s="36"/>
    </row>
    <row r="639">
      <c r="T639" s="36"/>
    </row>
    <row r="640">
      <c r="T640" s="36"/>
    </row>
    <row r="641">
      <c r="T641" s="36"/>
    </row>
    <row r="642">
      <c r="T642" s="36"/>
    </row>
    <row r="643">
      <c r="T643" s="36"/>
    </row>
    <row r="644">
      <c r="T644" s="36"/>
    </row>
    <row r="645">
      <c r="T645" s="36"/>
    </row>
    <row r="646">
      <c r="T646" s="36"/>
    </row>
    <row r="647">
      <c r="T647" s="36"/>
    </row>
    <row r="648">
      <c r="T648" s="36"/>
    </row>
    <row r="649">
      <c r="T649" s="36"/>
    </row>
    <row r="650">
      <c r="T650" s="36"/>
    </row>
    <row r="651">
      <c r="T651" s="36"/>
    </row>
    <row r="652">
      <c r="T652" s="36"/>
    </row>
    <row r="653">
      <c r="T653" s="36"/>
    </row>
    <row r="654">
      <c r="T654" s="36"/>
    </row>
    <row r="655">
      <c r="T655" s="36"/>
    </row>
    <row r="656">
      <c r="T656" s="36"/>
    </row>
    <row r="657">
      <c r="T657" s="36"/>
    </row>
    <row r="658">
      <c r="T658" s="36"/>
    </row>
    <row r="659">
      <c r="T659" s="36"/>
    </row>
    <row r="660">
      <c r="T660" s="36"/>
    </row>
    <row r="661">
      <c r="T661" s="36"/>
    </row>
    <row r="662">
      <c r="T662" s="36"/>
    </row>
    <row r="663">
      <c r="T663" s="36"/>
    </row>
    <row r="664">
      <c r="T664" s="36"/>
    </row>
    <row r="665">
      <c r="T665" s="36"/>
    </row>
    <row r="666">
      <c r="T666" s="36"/>
    </row>
    <row r="667">
      <c r="T667" s="36"/>
    </row>
    <row r="668">
      <c r="T668" s="36"/>
    </row>
    <row r="669">
      <c r="T669" s="36"/>
    </row>
    <row r="670">
      <c r="T670" s="36"/>
    </row>
    <row r="671">
      <c r="T671" s="36"/>
    </row>
    <row r="672">
      <c r="T672" s="36"/>
    </row>
    <row r="673">
      <c r="T673" s="36"/>
    </row>
    <row r="674">
      <c r="T674" s="36"/>
    </row>
    <row r="675">
      <c r="T675" s="36"/>
    </row>
    <row r="676">
      <c r="T676" s="36"/>
    </row>
    <row r="677">
      <c r="T677" s="36"/>
    </row>
    <row r="678">
      <c r="T678" s="36"/>
    </row>
    <row r="679">
      <c r="T679" s="36"/>
    </row>
    <row r="680">
      <c r="T680" s="36"/>
    </row>
    <row r="681">
      <c r="T681" s="36"/>
    </row>
    <row r="682">
      <c r="T682" s="36"/>
    </row>
    <row r="683">
      <c r="T683" s="36"/>
    </row>
    <row r="684">
      <c r="T684" s="36"/>
    </row>
    <row r="685">
      <c r="T685" s="36"/>
    </row>
    <row r="686">
      <c r="T686" s="36"/>
    </row>
    <row r="687">
      <c r="T687" s="36"/>
    </row>
    <row r="688">
      <c r="T688" s="36"/>
    </row>
    <row r="689">
      <c r="T689" s="36"/>
    </row>
    <row r="690">
      <c r="T690" s="36"/>
    </row>
    <row r="691">
      <c r="T691" s="36"/>
    </row>
    <row r="692">
      <c r="T692" s="36"/>
    </row>
    <row r="693">
      <c r="T693" s="36"/>
    </row>
    <row r="694">
      <c r="T694" s="36"/>
    </row>
    <row r="695">
      <c r="T695" s="36"/>
    </row>
    <row r="696">
      <c r="T696" s="36"/>
    </row>
    <row r="697">
      <c r="T697" s="36"/>
    </row>
    <row r="698">
      <c r="T698" s="36"/>
    </row>
    <row r="699">
      <c r="T699" s="36"/>
    </row>
    <row r="700">
      <c r="T700" s="36"/>
    </row>
    <row r="701">
      <c r="T701" s="36"/>
    </row>
    <row r="702">
      <c r="T702" s="36"/>
    </row>
    <row r="703">
      <c r="T703" s="36"/>
    </row>
    <row r="704">
      <c r="T704" s="36"/>
    </row>
    <row r="705">
      <c r="T705" s="36"/>
    </row>
    <row r="706">
      <c r="T706" s="36"/>
    </row>
    <row r="707">
      <c r="T707" s="36"/>
    </row>
    <row r="708">
      <c r="T708" s="36"/>
    </row>
    <row r="709">
      <c r="T709" s="36"/>
    </row>
    <row r="710">
      <c r="T710" s="36"/>
    </row>
    <row r="711">
      <c r="T711" s="36"/>
    </row>
    <row r="712">
      <c r="T712" s="36"/>
    </row>
    <row r="713">
      <c r="T713" s="36"/>
    </row>
    <row r="714">
      <c r="T714" s="36"/>
    </row>
    <row r="715">
      <c r="T715" s="36"/>
    </row>
    <row r="716">
      <c r="T716" s="36"/>
    </row>
    <row r="717">
      <c r="T717" s="36"/>
    </row>
    <row r="718">
      <c r="T718" s="36"/>
    </row>
    <row r="719">
      <c r="T719" s="36"/>
    </row>
    <row r="720">
      <c r="T720" s="36"/>
    </row>
    <row r="721">
      <c r="T721" s="36"/>
    </row>
    <row r="722">
      <c r="T722" s="36"/>
    </row>
    <row r="723">
      <c r="T723" s="36"/>
    </row>
    <row r="724">
      <c r="T724" s="36"/>
    </row>
    <row r="725">
      <c r="T725" s="36"/>
    </row>
    <row r="726">
      <c r="T726" s="36"/>
    </row>
    <row r="727">
      <c r="T727" s="36"/>
    </row>
    <row r="728">
      <c r="T728" s="36"/>
    </row>
    <row r="729">
      <c r="T729" s="36"/>
    </row>
    <row r="730">
      <c r="T730" s="36"/>
    </row>
    <row r="731">
      <c r="T731" s="36"/>
    </row>
    <row r="732">
      <c r="T732" s="36"/>
    </row>
    <row r="733">
      <c r="T733" s="36"/>
    </row>
    <row r="734">
      <c r="T734" s="36"/>
    </row>
    <row r="735">
      <c r="T735" s="36"/>
    </row>
    <row r="736">
      <c r="T736" s="36"/>
    </row>
    <row r="737">
      <c r="T737" s="36"/>
    </row>
    <row r="738">
      <c r="T738" s="36"/>
    </row>
    <row r="739">
      <c r="T739" s="36"/>
    </row>
    <row r="740">
      <c r="T740" s="36"/>
    </row>
    <row r="741">
      <c r="T741" s="36"/>
    </row>
    <row r="742">
      <c r="T742" s="36"/>
    </row>
    <row r="743">
      <c r="T743" s="36"/>
    </row>
    <row r="744">
      <c r="T744" s="36"/>
    </row>
    <row r="745">
      <c r="T745" s="36"/>
    </row>
    <row r="746">
      <c r="T746" s="36"/>
    </row>
    <row r="747">
      <c r="T747" s="36"/>
    </row>
    <row r="748">
      <c r="T748" s="36"/>
    </row>
    <row r="749">
      <c r="T749" s="36"/>
    </row>
    <row r="750">
      <c r="T750" s="36"/>
    </row>
    <row r="751">
      <c r="T751" s="36"/>
    </row>
    <row r="752">
      <c r="T752" s="36"/>
    </row>
    <row r="753">
      <c r="T753" s="36"/>
    </row>
    <row r="754">
      <c r="T754" s="36"/>
    </row>
    <row r="755">
      <c r="T755" s="36"/>
    </row>
    <row r="756">
      <c r="T756" s="36"/>
    </row>
    <row r="757">
      <c r="T757" s="36"/>
    </row>
    <row r="758">
      <c r="T758" s="36"/>
    </row>
    <row r="759">
      <c r="T759" s="36"/>
    </row>
    <row r="760">
      <c r="T760" s="36"/>
    </row>
    <row r="761">
      <c r="T761" s="36"/>
    </row>
    <row r="762">
      <c r="T762" s="36"/>
    </row>
    <row r="763">
      <c r="T763" s="36"/>
    </row>
    <row r="764">
      <c r="T764" s="36"/>
    </row>
    <row r="765">
      <c r="T765" s="36"/>
    </row>
    <row r="766">
      <c r="T766" s="36"/>
    </row>
    <row r="767">
      <c r="T767" s="36"/>
    </row>
    <row r="768">
      <c r="T768" s="36"/>
    </row>
    <row r="769">
      <c r="T769" s="36"/>
    </row>
    <row r="770">
      <c r="T770" s="36"/>
    </row>
    <row r="771">
      <c r="T771" s="36"/>
    </row>
    <row r="772">
      <c r="T772" s="36"/>
    </row>
    <row r="773">
      <c r="T773" s="36"/>
    </row>
    <row r="774">
      <c r="T774" s="36"/>
    </row>
    <row r="775">
      <c r="T775" s="36"/>
    </row>
    <row r="776">
      <c r="T776" s="36"/>
    </row>
    <row r="777">
      <c r="T777" s="36"/>
    </row>
    <row r="778">
      <c r="T778" s="36"/>
    </row>
    <row r="779">
      <c r="T779" s="36"/>
    </row>
    <row r="780">
      <c r="T780" s="36"/>
    </row>
    <row r="781">
      <c r="T781" s="36"/>
    </row>
    <row r="782">
      <c r="T782" s="36"/>
    </row>
    <row r="783">
      <c r="T783" s="36"/>
    </row>
    <row r="784">
      <c r="T784" s="36"/>
    </row>
    <row r="785">
      <c r="T785" s="36"/>
    </row>
    <row r="786">
      <c r="T786" s="36"/>
    </row>
    <row r="787">
      <c r="T787" s="36"/>
    </row>
    <row r="788">
      <c r="T788" s="36"/>
    </row>
    <row r="789">
      <c r="T789" s="36"/>
    </row>
    <row r="790">
      <c r="T790" s="36"/>
    </row>
    <row r="791">
      <c r="T791" s="36"/>
    </row>
    <row r="792">
      <c r="T792" s="36"/>
    </row>
    <row r="793">
      <c r="T793" s="36"/>
    </row>
    <row r="794">
      <c r="T794" s="36"/>
    </row>
    <row r="795">
      <c r="T795" s="36"/>
    </row>
    <row r="796">
      <c r="T796" s="36"/>
    </row>
    <row r="797">
      <c r="T797" s="36"/>
    </row>
    <row r="798">
      <c r="T798" s="36"/>
    </row>
    <row r="799">
      <c r="T799" s="36"/>
    </row>
    <row r="800">
      <c r="T800" s="36"/>
    </row>
    <row r="801">
      <c r="T801" s="36"/>
    </row>
    <row r="802">
      <c r="T802" s="36"/>
    </row>
    <row r="803">
      <c r="T803" s="36"/>
    </row>
    <row r="804">
      <c r="T804" s="36"/>
    </row>
    <row r="805">
      <c r="T805" s="36"/>
    </row>
    <row r="806">
      <c r="T806" s="36"/>
    </row>
    <row r="807">
      <c r="T807" s="36"/>
    </row>
    <row r="808">
      <c r="T808" s="36"/>
    </row>
    <row r="809">
      <c r="T809" s="36"/>
    </row>
    <row r="810">
      <c r="T810" s="36"/>
    </row>
    <row r="811">
      <c r="T811" s="36"/>
    </row>
    <row r="812">
      <c r="T812" s="36"/>
    </row>
    <row r="813">
      <c r="T813" s="36"/>
    </row>
    <row r="814">
      <c r="T814" s="36"/>
    </row>
    <row r="815">
      <c r="T815" s="36"/>
    </row>
    <row r="816">
      <c r="T816" s="36"/>
    </row>
    <row r="817">
      <c r="T817" s="36"/>
    </row>
    <row r="818">
      <c r="T818" s="36"/>
    </row>
    <row r="819">
      <c r="T819" s="36"/>
    </row>
    <row r="820">
      <c r="T820" s="36"/>
    </row>
    <row r="821">
      <c r="T821" s="36"/>
    </row>
    <row r="822">
      <c r="T822" s="36"/>
    </row>
    <row r="823">
      <c r="T823" s="36"/>
    </row>
    <row r="824">
      <c r="T824" s="36"/>
    </row>
    <row r="825">
      <c r="T825" s="36"/>
    </row>
    <row r="826">
      <c r="T826" s="36"/>
    </row>
    <row r="827">
      <c r="T827" s="36"/>
    </row>
    <row r="828">
      <c r="T828" s="36"/>
    </row>
    <row r="829">
      <c r="T829" s="36"/>
    </row>
    <row r="830">
      <c r="T830" s="36"/>
    </row>
    <row r="831">
      <c r="T831" s="36"/>
    </row>
    <row r="832">
      <c r="T832" s="36"/>
    </row>
    <row r="833">
      <c r="T833" s="36"/>
    </row>
    <row r="834">
      <c r="T834" s="36"/>
    </row>
    <row r="835">
      <c r="T835" s="36"/>
    </row>
    <row r="836">
      <c r="T836" s="36"/>
    </row>
    <row r="837">
      <c r="T837" s="36"/>
    </row>
    <row r="838">
      <c r="T838" s="36"/>
    </row>
    <row r="839">
      <c r="T839" s="36"/>
    </row>
    <row r="840">
      <c r="T840" s="36"/>
    </row>
    <row r="841">
      <c r="T841" s="36"/>
    </row>
    <row r="842">
      <c r="T842" s="36"/>
    </row>
    <row r="843">
      <c r="T843" s="36"/>
    </row>
    <row r="844">
      <c r="T844" s="36"/>
    </row>
    <row r="845">
      <c r="T845" s="36"/>
    </row>
    <row r="846">
      <c r="T846" s="36"/>
    </row>
    <row r="847">
      <c r="T847" s="36"/>
    </row>
    <row r="848">
      <c r="T848" s="36"/>
    </row>
    <row r="849">
      <c r="T849" s="36"/>
    </row>
    <row r="850">
      <c r="T850" s="36"/>
    </row>
    <row r="851">
      <c r="T851" s="36"/>
    </row>
    <row r="852">
      <c r="T852" s="36"/>
    </row>
    <row r="853">
      <c r="T853" s="36"/>
    </row>
    <row r="854">
      <c r="T854" s="36"/>
    </row>
    <row r="855">
      <c r="T855" s="36"/>
    </row>
    <row r="856">
      <c r="T856" s="36"/>
    </row>
    <row r="857">
      <c r="T857" s="36"/>
    </row>
    <row r="858">
      <c r="T858" s="36"/>
    </row>
    <row r="859">
      <c r="T859" s="36"/>
    </row>
    <row r="860">
      <c r="T860" s="36"/>
    </row>
    <row r="861">
      <c r="T861" s="36"/>
    </row>
    <row r="862">
      <c r="T862" s="36"/>
    </row>
    <row r="863">
      <c r="T863" s="36"/>
    </row>
    <row r="864">
      <c r="T864" s="36"/>
    </row>
    <row r="865">
      <c r="T865" s="36"/>
    </row>
    <row r="866">
      <c r="T866" s="36"/>
    </row>
    <row r="867">
      <c r="T867" s="36"/>
    </row>
    <row r="868">
      <c r="T868" s="36"/>
    </row>
    <row r="869">
      <c r="T869" s="36"/>
    </row>
    <row r="870">
      <c r="T870" s="36"/>
    </row>
    <row r="871">
      <c r="T871" s="36"/>
    </row>
    <row r="872">
      <c r="T872" s="36"/>
    </row>
    <row r="873">
      <c r="T873" s="36"/>
    </row>
    <row r="874">
      <c r="T874" s="36"/>
    </row>
    <row r="875">
      <c r="T875" s="36"/>
    </row>
    <row r="876">
      <c r="T876" s="36"/>
    </row>
    <row r="877">
      <c r="T877" s="36"/>
    </row>
    <row r="878">
      <c r="T878" s="36"/>
    </row>
    <row r="879">
      <c r="T879" s="36"/>
    </row>
    <row r="880">
      <c r="T880" s="36"/>
    </row>
    <row r="881">
      <c r="T881" s="36"/>
    </row>
    <row r="882">
      <c r="T882" s="36"/>
    </row>
    <row r="883">
      <c r="T883" s="36"/>
    </row>
    <row r="884">
      <c r="T884" s="36"/>
    </row>
    <row r="885">
      <c r="T885" s="36"/>
    </row>
    <row r="886">
      <c r="T886" s="36"/>
    </row>
    <row r="887">
      <c r="T887" s="36"/>
    </row>
    <row r="888">
      <c r="T888" s="36"/>
    </row>
    <row r="889">
      <c r="T889" s="36"/>
    </row>
    <row r="890">
      <c r="T890" s="36"/>
    </row>
    <row r="891">
      <c r="T891" s="36"/>
    </row>
    <row r="892">
      <c r="T892" s="36"/>
    </row>
    <row r="893">
      <c r="T893" s="36"/>
    </row>
    <row r="894">
      <c r="T894" s="36"/>
    </row>
    <row r="895">
      <c r="T895" s="36"/>
    </row>
    <row r="896">
      <c r="T896" s="36"/>
    </row>
    <row r="897">
      <c r="T897" s="36"/>
    </row>
    <row r="898">
      <c r="T898" s="36"/>
    </row>
    <row r="899">
      <c r="T899" s="36"/>
    </row>
    <row r="900">
      <c r="T900" s="36"/>
    </row>
    <row r="901">
      <c r="T901" s="36"/>
    </row>
    <row r="902">
      <c r="T902" s="36"/>
    </row>
    <row r="903">
      <c r="T903" s="36"/>
    </row>
    <row r="904">
      <c r="T904" s="36"/>
    </row>
    <row r="905">
      <c r="T905" s="36"/>
    </row>
    <row r="906">
      <c r="T906" s="36"/>
    </row>
    <row r="907">
      <c r="T907" s="36"/>
    </row>
    <row r="908">
      <c r="T908" s="36"/>
    </row>
    <row r="909">
      <c r="T909" s="36"/>
    </row>
    <row r="910">
      <c r="T910" s="36"/>
    </row>
    <row r="911">
      <c r="T911" s="36"/>
    </row>
    <row r="912">
      <c r="T912" s="36"/>
    </row>
    <row r="913">
      <c r="T913" s="36"/>
    </row>
    <row r="914">
      <c r="T914" s="36"/>
    </row>
    <row r="915">
      <c r="T915" s="36"/>
    </row>
    <row r="916">
      <c r="T916" s="36"/>
    </row>
    <row r="917">
      <c r="T917" s="36"/>
    </row>
    <row r="918">
      <c r="T918" s="36"/>
    </row>
    <row r="919">
      <c r="T919" s="36"/>
    </row>
    <row r="920">
      <c r="T920" s="36"/>
    </row>
    <row r="921">
      <c r="T921" s="36"/>
    </row>
    <row r="922">
      <c r="T922" s="36"/>
    </row>
    <row r="923">
      <c r="T923" s="36"/>
    </row>
    <row r="924">
      <c r="T924" s="36"/>
    </row>
    <row r="925">
      <c r="T925" s="36"/>
    </row>
    <row r="926">
      <c r="T926" s="36"/>
    </row>
    <row r="927">
      <c r="T927" s="36"/>
    </row>
    <row r="928">
      <c r="T928" s="36"/>
    </row>
    <row r="929">
      <c r="T929" s="36"/>
    </row>
    <row r="930">
      <c r="T930" s="36"/>
    </row>
    <row r="931">
      <c r="T931" s="36"/>
    </row>
    <row r="932">
      <c r="T932" s="36"/>
    </row>
    <row r="933">
      <c r="T933" s="36"/>
    </row>
    <row r="934">
      <c r="T934" s="36"/>
    </row>
    <row r="935">
      <c r="T935" s="36"/>
    </row>
    <row r="936">
      <c r="T936" s="36"/>
    </row>
    <row r="937">
      <c r="T937" s="36"/>
    </row>
    <row r="938">
      <c r="T938" s="36"/>
    </row>
    <row r="939">
      <c r="T939" s="36"/>
    </row>
    <row r="940">
      <c r="T940" s="36"/>
    </row>
    <row r="941">
      <c r="T941" s="36"/>
    </row>
    <row r="942">
      <c r="T942" s="36"/>
    </row>
    <row r="943">
      <c r="T943" s="36"/>
    </row>
    <row r="944">
      <c r="T944" s="36"/>
    </row>
    <row r="945">
      <c r="T945" s="36"/>
    </row>
    <row r="946">
      <c r="T946" s="36"/>
    </row>
    <row r="947">
      <c r="T947" s="36"/>
    </row>
    <row r="948">
      <c r="T948" s="36"/>
    </row>
    <row r="949">
      <c r="T949" s="36"/>
    </row>
    <row r="950">
      <c r="T950" s="36"/>
    </row>
    <row r="951">
      <c r="T951" s="36"/>
    </row>
    <row r="952">
      <c r="T952" s="36"/>
    </row>
    <row r="953">
      <c r="T953" s="36"/>
    </row>
    <row r="954">
      <c r="T954" s="36"/>
    </row>
    <row r="955">
      <c r="T955" s="36"/>
    </row>
    <row r="956">
      <c r="T956" s="36"/>
    </row>
    <row r="957">
      <c r="T957" s="36"/>
    </row>
    <row r="958">
      <c r="T958" s="36"/>
    </row>
    <row r="959">
      <c r="T959" s="36"/>
    </row>
    <row r="960">
      <c r="T960" s="36"/>
    </row>
    <row r="961">
      <c r="T961" s="36"/>
    </row>
    <row r="962">
      <c r="T962" s="36"/>
    </row>
    <row r="963">
      <c r="T963" s="36"/>
    </row>
    <row r="964">
      <c r="T964" s="36"/>
    </row>
    <row r="965">
      <c r="T965" s="36"/>
    </row>
    <row r="966">
      <c r="T966" s="36"/>
    </row>
    <row r="967">
      <c r="T967" s="36"/>
    </row>
    <row r="968">
      <c r="T968" s="36"/>
    </row>
    <row r="969">
      <c r="T969" s="36"/>
    </row>
    <row r="970">
      <c r="T970" s="36"/>
    </row>
    <row r="971">
      <c r="T971" s="36"/>
    </row>
    <row r="972">
      <c r="T972" s="36"/>
    </row>
    <row r="973">
      <c r="T973" s="36"/>
    </row>
    <row r="974">
      <c r="T974" s="36"/>
    </row>
    <row r="975">
      <c r="T975" s="36"/>
    </row>
    <row r="976">
      <c r="T976" s="36"/>
    </row>
    <row r="977">
      <c r="T977" s="36"/>
    </row>
    <row r="978">
      <c r="T978" s="36"/>
    </row>
    <row r="979">
      <c r="T979" s="36"/>
    </row>
    <row r="980">
      <c r="T980" s="36"/>
    </row>
    <row r="981">
      <c r="T981" s="36"/>
    </row>
    <row r="982">
      <c r="T982" s="36"/>
    </row>
    <row r="983">
      <c r="T983" s="36"/>
    </row>
    <row r="984">
      <c r="T984" s="36"/>
    </row>
    <row r="985">
      <c r="T985" s="36"/>
    </row>
    <row r="986">
      <c r="T986" s="36"/>
    </row>
    <row r="987">
      <c r="T987" s="36"/>
    </row>
    <row r="988">
      <c r="T988" s="36"/>
    </row>
    <row r="989">
      <c r="T989" s="36"/>
    </row>
    <row r="990">
      <c r="T990" s="36"/>
    </row>
    <row r="991">
      <c r="T991" s="36"/>
    </row>
    <row r="992">
      <c r="T992" s="36"/>
    </row>
    <row r="993">
      <c r="T993" s="36"/>
    </row>
    <row r="994">
      <c r="T994" s="36"/>
    </row>
    <row r="995">
      <c r="T995" s="36"/>
    </row>
    <row r="996">
      <c r="T996" s="36"/>
    </row>
    <row r="997">
      <c r="T997" s="36"/>
    </row>
    <row r="998">
      <c r="T998" s="36"/>
    </row>
    <row r="999">
      <c r="T999" s="36"/>
    </row>
    <row r="1000">
      <c r="T1000" s="36"/>
    </row>
  </sheetData>
  <dataValidations>
    <dataValidation type="list" allowBlank="1" showErrorMessage="1" sqref="T1:T7">
      <formula1>"Released,Ongoing,Pending"</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13"/>
    <col customWidth="1" min="4" max="4" width="24.75"/>
    <col customWidth="1" min="5" max="5" width="33.63"/>
    <col customWidth="1" min="8" max="8" width="22.63"/>
    <col customWidth="1" min="9" max="9" width="43.0"/>
    <col customWidth="1" min="10" max="10" width="15.25"/>
    <col customWidth="1" min="12" max="12" width="17.0"/>
    <col customWidth="1" min="13" max="13" width="16.13"/>
    <col customWidth="1" min="16" max="16" width="21.38"/>
    <col customWidth="1" min="17" max="17" width="24.75"/>
    <col customWidth="1" min="18" max="18" width="19.5"/>
    <col customWidth="1" min="19" max="19" width="21.38"/>
  </cols>
  <sheetData>
    <row r="1">
      <c r="A1" s="2" t="s">
        <v>0</v>
      </c>
      <c r="B1" s="2" t="s">
        <v>1</v>
      </c>
      <c r="C1" s="2" t="s">
        <v>2</v>
      </c>
      <c r="D1" s="2" t="s">
        <v>3</v>
      </c>
      <c r="E1" s="2" t="s">
        <v>4</v>
      </c>
      <c r="F1" s="2" t="s">
        <v>33</v>
      </c>
      <c r="G1" s="2" t="s">
        <v>5</v>
      </c>
      <c r="H1" s="17" t="s">
        <v>34</v>
      </c>
      <c r="I1" s="17" t="s">
        <v>6</v>
      </c>
      <c r="J1" s="2" t="s">
        <v>7</v>
      </c>
      <c r="K1" s="2" t="s">
        <v>35</v>
      </c>
      <c r="L1" s="37" t="s">
        <v>9</v>
      </c>
      <c r="M1" s="37" t="s">
        <v>245</v>
      </c>
      <c r="N1" s="37" t="s">
        <v>246</v>
      </c>
      <c r="O1" s="2" t="s">
        <v>36</v>
      </c>
      <c r="P1" s="2" t="s">
        <v>11</v>
      </c>
      <c r="Q1" s="2" t="s">
        <v>12</v>
      </c>
      <c r="R1" s="2" t="s">
        <v>13</v>
      </c>
      <c r="S1" s="2" t="s">
        <v>270</v>
      </c>
      <c r="T1" s="18" t="s">
        <v>15</v>
      </c>
    </row>
    <row r="2">
      <c r="A2" s="38">
        <f t="shared" ref="A2:A30" si="1">ROW(A2)-1</f>
        <v>1</v>
      </c>
      <c r="B2" s="21" t="s">
        <v>271</v>
      </c>
      <c r="C2" s="21">
        <v>6.32502516E8</v>
      </c>
      <c r="E2" s="21" t="s">
        <v>272</v>
      </c>
      <c r="F2" s="21" t="s">
        <v>118</v>
      </c>
      <c r="G2" s="21" t="s">
        <v>249</v>
      </c>
      <c r="H2" s="21" t="s">
        <v>273</v>
      </c>
      <c r="I2" s="21" t="s">
        <v>264</v>
      </c>
      <c r="J2" s="21" t="s">
        <v>256</v>
      </c>
      <c r="L2" s="35">
        <v>45909.0</v>
      </c>
      <c r="M2" s="35">
        <f t="shared" ref="M2:M30" si="2">L2+11</f>
        <v>45920</v>
      </c>
      <c r="N2" s="31">
        <f t="shared" ref="N2:N30" si="3">L2+20</f>
        <v>45929</v>
      </c>
      <c r="Q2" s="31">
        <v>45929.0</v>
      </c>
      <c r="R2" s="31">
        <v>45920.0</v>
      </c>
      <c r="T2" s="21" t="s">
        <v>23</v>
      </c>
    </row>
    <row r="3">
      <c r="A3" s="38">
        <f t="shared" si="1"/>
        <v>2</v>
      </c>
      <c r="B3" s="21" t="s">
        <v>274</v>
      </c>
      <c r="C3" s="21">
        <v>6.32502518E8</v>
      </c>
      <c r="E3" s="21" t="s">
        <v>275</v>
      </c>
      <c r="F3" s="21" t="s">
        <v>118</v>
      </c>
      <c r="G3" s="21" t="s">
        <v>249</v>
      </c>
      <c r="H3" s="21" t="s">
        <v>273</v>
      </c>
      <c r="I3" s="21" t="s">
        <v>264</v>
      </c>
      <c r="J3" s="21" t="s">
        <v>256</v>
      </c>
      <c r="L3" s="35">
        <v>45909.0</v>
      </c>
      <c r="M3" s="35">
        <f t="shared" si="2"/>
        <v>45920</v>
      </c>
      <c r="N3" s="31">
        <f t="shared" si="3"/>
        <v>45929</v>
      </c>
      <c r="Q3" s="31">
        <v>45929.0</v>
      </c>
      <c r="R3" s="31">
        <v>45920.0</v>
      </c>
      <c r="T3" s="21" t="s">
        <v>23</v>
      </c>
    </row>
    <row r="4">
      <c r="A4" s="38">
        <f t="shared" si="1"/>
        <v>3</v>
      </c>
      <c r="B4" s="21" t="s">
        <v>276</v>
      </c>
      <c r="C4" s="21">
        <v>6.32502517E8</v>
      </c>
      <c r="E4" s="21" t="s">
        <v>277</v>
      </c>
      <c r="F4" s="21" t="s">
        <v>118</v>
      </c>
      <c r="G4" s="21" t="s">
        <v>249</v>
      </c>
      <c r="H4" s="21" t="s">
        <v>273</v>
      </c>
      <c r="I4" s="21" t="s">
        <v>264</v>
      </c>
      <c r="J4" s="21" t="s">
        <v>256</v>
      </c>
      <c r="L4" s="35">
        <v>45909.0</v>
      </c>
      <c r="M4" s="35">
        <f t="shared" si="2"/>
        <v>45920</v>
      </c>
      <c r="N4" s="31">
        <f t="shared" si="3"/>
        <v>45929</v>
      </c>
      <c r="Q4" s="31">
        <v>45929.0</v>
      </c>
      <c r="R4" s="31">
        <v>45920.0</v>
      </c>
      <c r="T4" s="21" t="s">
        <v>23</v>
      </c>
    </row>
    <row r="5">
      <c r="A5" s="38">
        <f t="shared" si="1"/>
        <v>4</v>
      </c>
      <c r="B5" s="21" t="s">
        <v>278</v>
      </c>
      <c r="C5" s="39">
        <v>6.32502519E8</v>
      </c>
      <c r="E5" s="39" t="s">
        <v>279</v>
      </c>
      <c r="F5" s="21" t="s">
        <v>118</v>
      </c>
      <c r="G5" s="21" t="s">
        <v>249</v>
      </c>
      <c r="H5" s="21" t="s">
        <v>273</v>
      </c>
      <c r="I5" s="21" t="s">
        <v>264</v>
      </c>
      <c r="J5" s="21" t="s">
        <v>256</v>
      </c>
      <c r="K5" s="21" t="s">
        <v>280</v>
      </c>
      <c r="L5" s="35">
        <v>46281.0</v>
      </c>
      <c r="M5" s="31">
        <f t="shared" si="2"/>
        <v>46292</v>
      </c>
      <c r="N5" s="31">
        <f t="shared" si="3"/>
        <v>46301</v>
      </c>
      <c r="Q5" s="31">
        <v>45938.0</v>
      </c>
      <c r="R5" s="31">
        <v>45927.0</v>
      </c>
      <c r="T5" s="21" t="s">
        <v>23</v>
      </c>
    </row>
    <row r="6">
      <c r="A6" s="38">
        <f t="shared" si="1"/>
        <v>5</v>
      </c>
      <c r="B6" s="21" t="s">
        <v>281</v>
      </c>
      <c r="C6" s="39">
        <v>6.32502531E8</v>
      </c>
      <c r="E6" s="39" t="s">
        <v>282</v>
      </c>
      <c r="F6" s="21" t="s">
        <v>283</v>
      </c>
      <c r="G6" s="21" t="s">
        <v>249</v>
      </c>
      <c r="H6" s="21" t="s">
        <v>284</v>
      </c>
      <c r="I6" s="26" t="s">
        <v>112</v>
      </c>
      <c r="J6" s="21" t="s">
        <v>30</v>
      </c>
      <c r="K6" s="21" t="s">
        <v>280</v>
      </c>
      <c r="L6" s="35">
        <v>45916.0</v>
      </c>
      <c r="M6" s="31">
        <f t="shared" si="2"/>
        <v>45927</v>
      </c>
      <c r="N6" s="31">
        <f t="shared" si="3"/>
        <v>45936</v>
      </c>
      <c r="P6" s="40"/>
      <c r="Q6" s="31">
        <v>45938.0</v>
      </c>
      <c r="R6" s="31">
        <v>45927.0</v>
      </c>
      <c r="T6" s="21" t="s">
        <v>23</v>
      </c>
    </row>
    <row r="7">
      <c r="A7" s="38">
        <f t="shared" si="1"/>
        <v>6</v>
      </c>
      <c r="B7" s="21" t="s">
        <v>285</v>
      </c>
      <c r="C7" s="39">
        <v>6.32502532E8</v>
      </c>
      <c r="E7" s="39" t="s">
        <v>286</v>
      </c>
      <c r="G7" s="21" t="s">
        <v>249</v>
      </c>
      <c r="H7" s="21" t="s">
        <v>284</v>
      </c>
      <c r="I7" s="26" t="s">
        <v>112</v>
      </c>
      <c r="J7" s="21" t="s">
        <v>30</v>
      </c>
      <c r="K7" s="21" t="s">
        <v>280</v>
      </c>
      <c r="L7" s="35">
        <v>45916.0</v>
      </c>
      <c r="M7" s="31">
        <f t="shared" si="2"/>
        <v>45927</v>
      </c>
      <c r="N7" s="31">
        <f t="shared" si="3"/>
        <v>45936</v>
      </c>
      <c r="Q7" s="31">
        <v>45938.0</v>
      </c>
      <c r="R7" s="31">
        <v>45927.0</v>
      </c>
      <c r="T7" s="21" t="s">
        <v>23</v>
      </c>
    </row>
    <row r="8">
      <c r="A8" s="38">
        <f t="shared" si="1"/>
        <v>7</v>
      </c>
      <c r="B8" s="21" t="s">
        <v>287</v>
      </c>
      <c r="C8" s="39">
        <v>6.32502533E8</v>
      </c>
      <c r="E8" s="39" t="s">
        <v>288</v>
      </c>
      <c r="G8" s="21" t="s">
        <v>249</v>
      </c>
      <c r="H8" s="21" t="s">
        <v>284</v>
      </c>
      <c r="I8" s="26" t="s">
        <v>112</v>
      </c>
      <c r="J8" s="21" t="s">
        <v>30</v>
      </c>
      <c r="K8" s="21" t="s">
        <v>280</v>
      </c>
      <c r="L8" s="35">
        <v>45916.0</v>
      </c>
      <c r="M8" s="31">
        <f t="shared" si="2"/>
        <v>45927</v>
      </c>
      <c r="N8" s="31">
        <f t="shared" si="3"/>
        <v>45936</v>
      </c>
      <c r="Q8" s="31">
        <v>45938.0</v>
      </c>
      <c r="R8" s="31">
        <v>45927.0</v>
      </c>
      <c r="T8" s="21" t="s">
        <v>23</v>
      </c>
    </row>
    <row r="9">
      <c r="A9" s="38">
        <f t="shared" si="1"/>
        <v>8</v>
      </c>
      <c r="B9" s="21" t="s">
        <v>289</v>
      </c>
      <c r="C9" s="39">
        <v>6.32502534E8</v>
      </c>
      <c r="D9" s="41" t="s">
        <v>290</v>
      </c>
      <c r="E9" s="39" t="s">
        <v>291</v>
      </c>
      <c r="G9" s="21" t="s">
        <v>249</v>
      </c>
      <c r="H9" s="21" t="s">
        <v>284</v>
      </c>
      <c r="I9" s="26" t="s">
        <v>112</v>
      </c>
      <c r="J9" s="21" t="s">
        <v>30</v>
      </c>
      <c r="K9" s="21" t="s">
        <v>280</v>
      </c>
      <c r="L9" s="35">
        <v>45916.0</v>
      </c>
      <c r="M9" s="31">
        <f t="shared" si="2"/>
        <v>45927</v>
      </c>
      <c r="N9" s="31">
        <f t="shared" si="3"/>
        <v>45936</v>
      </c>
      <c r="Q9" s="31">
        <v>45938.0</v>
      </c>
      <c r="R9" s="31">
        <v>45927.0</v>
      </c>
      <c r="T9" s="21" t="s">
        <v>23</v>
      </c>
    </row>
    <row r="10">
      <c r="A10" s="38">
        <f t="shared" si="1"/>
        <v>9</v>
      </c>
      <c r="B10" s="21" t="s">
        <v>292</v>
      </c>
      <c r="C10" s="39">
        <v>6.32502535E8</v>
      </c>
      <c r="E10" s="39" t="s">
        <v>293</v>
      </c>
      <c r="G10" s="21" t="s">
        <v>249</v>
      </c>
      <c r="H10" s="21" t="s">
        <v>284</v>
      </c>
      <c r="I10" s="26" t="s">
        <v>112</v>
      </c>
      <c r="J10" s="21" t="s">
        <v>30</v>
      </c>
      <c r="K10" s="21" t="s">
        <v>280</v>
      </c>
      <c r="L10" s="35">
        <v>45916.0</v>
      </c>
      <c r="M10" s="31">
        <f t="shared" si="2"/>
        <v>45927</v>
      </c>
      <c r="N10" s="31">
        <f t="shared" si="3"/>
        <v>45936</v>
      </c>
      <c r="Q10" s="31">
        <v>45938.0</v>
      </c>
      <c r="R10" s="31">
        <v>45927.0</v>
      </c>
      <c r="T10" s="21" t="s">
        <v>23</v>
      </c>
    </row>
    <row r="11">
      <c r="A11" s="38">
        <f t="shared" si="1"/>
        <v>10</v>
      </c>
      <c r="B11" s="21" t="s">
        <v>294</v>
      </c>
      <c r="C11" s="39">
        <v>6.32502536E8</v>
      </c>
      <c r="E11" s="39" t="s">
        <v>295</v>
      </c>
      <c r="G11" s="21" t="s">
        <v>249</v>
      </c>
      <c r="H11" s="21" t="s">
        <v>284</v>
      </c>
      <c r="I11" s="26" t="s">
        <v>112</v>
      </c>
      <c r="J11" s="21" t="s">
        <v>30</v>
      </c>
      <c r="K11" s="21" t="s">
        <v>280</v>
      </c>
      <c r="L11" s="35">
        <v>45916.0</v>
      </c>
      <c r="M11" s="31">
        <f t="shared" si="2"/>
        <v>45927</v>
      </c>
      <c r="N11" s="31">
        <f t="shared" si="3"/>
        <v>45936</v>
      </c>
      <c r="Q11" s="31">
        <v>45938.0</v>
      </c>
      <c r="R11" s="31">
        <v>45927.0</v>
      </c>
      <c r="T11" s="21" t="s">
        <v>23</v>
      </c>
    </row>
    <row r="12">
      <c r="A12" s="38">
        <f t="shared" si="1"/>
        <v>11</v>
      </c>
      <c r="B12" s="21" t="s">
        <v>296</v>
      </c>
      <c r="C12" s="39">
        <v>6.32502537E8</v>
      </c>
      <c r="E12" s="39" t="s">
        <v>297</v>
      </c>
      <c r="G12" s="21" t="s">
        <v>249</v>
      </c>
      <c r="H12" s="21" t="s">
        <v>284</v>
      </c>
      <c r="I12" s="26" t="s">
        <v>112</v>
      </c>
      <c r="J12" s="21" t="s">
        <v>30</v>
      </c>
      <c r="K12" s="21" t="s">
        <v>280</v>
      </c>
      <c r="L12" s="35">
        <v>45916.0</v>
      </c>
      <c r="M12" s="31">
        <f t="shared" si="2"/>
        <v>45927</v>
      </c>
      <c r="N12" s="31">
        <f t="shared" si="3"/>
        <v>45936</v>
      </c>
      <c r="Q12" s="31">
        <v>45938.0</v>
      </c>
      <c r="R12" s="31">
        <v>45927.0</v>
      </c>
      <c r="T12" s="21" t="s">
        <v>23</v>
      </c>
    </row>
    <row r="13">
      <c r="A13" s="38">
        <f t="shared" si="1"/>
        <v>12</v>
      </c>
      <c r="B13" s="21" t="s">
        <v>298</v>
      </c>
      <c r="C13" s="39">
        <v>6.32502538E8</v>
      </c>
      <c r="E13" s="39" t="s">
        <v>299</v>
      </c>
      <c r="G13" s="21" t="s">
        <v>249</v>
      </c>
      <c r="H13" s="21" t="s">
        <v>284</v>
      </c>
      <c r="I13" s="26" t="s">
        <v>112</v>
      </c>
      <c r="J13" s="21" t="s">
        <v>30</v>
      </c>
      <c r="K13" s="21" t="s">
        <v>280</v>
      </c>
      <c r="L13" s="35">
        <v>45916.0</v>
      </c>
      <c r="M13" s="31">
        <f t="shared" si="2"/>
        <v>45927</v>
      </c>
      <c r="N13" s="31">
        <f t="shared" si="3"/>
        <v>45936</v>
      </c>
      <c r="Q13" s="31">
        <v>45938.0</v>
      </c>
      <c r="R13" s="31">
        <v>45927.0</v>
      </c>
      <c r="T13" s="21" t="s">
        <v>23</v>
      </c>
    </row>
    <row r="14">
      <c r="A14" s="38">
        <f t="shared" si="1"/>
        <v>13</v>
      </c>
      <c r="B14" s="21" t="s">
        <v>300</v>
      </c>
      <c r="C14" s="39">
        <v>6.32502539E8</v>
      </c>
      <c r="E14" s="39" t="s">
        <v>301</v>
      </c>
      <c r="G14" s="21" t="s">
        <v>249</v>
      </c>
      <c r="H14" s="21" t="s">
        <v>284</v>
      </c>
      <c r="I14" s="26" t="s">
        <v>112</v>
      </c>
      <c r="J14" s="21" t="s">
        <v>30</v>
      </c>
      <c r="K14" s="21" t="s">
        <v>280</v>
      </c>
      <c r="L14" s="35">
        <v>45916.0</v>
      </c>
      <c r="M14" s="31">
        <f t="shared" si="2"/>
        <v>45927</v>
      </c>
      <c r="N14" s="31">
        <f t="shared" si="3"/>
        <v>45936</v>
      </c>
      <c r="Q14" s="31">
        <v>45938.0</v>
      </c>
      <c r="R14" s="31">
        <v>45927.0</v>
      </c>
      <c r="T14" s="21" t="s">
        <v>23</v>
      </c>
    </row>
    <row r="15">
      <c r="A15" s="38">
        <f t="shared" si="1"/>
        <v>14</v>
      </c>
      <c r="B15" s="21" t="s">
        <v>302</v>
      </c>
      <c r="C15" s="39">
        <v>6.3250254E8</v>
      </c>
      <c r="E15" s="39" t="s">
        <v>303</v>
      </c>
      <c r="G15" s="21" t="s">
        <v>249</v>
      </c>
      <c r="H15" s="21" t="s">
        <v>284</v>
      </c>
      <c r="I15" s="26" t="s">
        <v>112</v>
      </c>
      <c r="J15" s="21" t="s">
        <v>30</v>
      </c>
      <c r="K15" s="21" t="s">
        <v>280</v>
      </c>
      <c r="L15" s="35">
        <v>45916.0</v>
      </c>
      <c r="M15" s="31">
        <f t="shared" si="2"/>
        <v>45927</v>
      </c>
      <c r="N15" s="31">
        <f t="shared" si="3"/>
        <v>45936</v>
      </c>
      <c r="Q15" s="31">
        <v>45938.0</v>
      </c>
      <c r="R15" s="31">
        <v>45927.0</v>
      </c>
      <c r="T15" s="21" t="s">
        <v>23</v>
      </c>
    </row>
    <row r="16">
      <c r="A16" s="38">
        <f t="shared" si="1"/>
        <v>15</v>
      </c>
      <c r="B16" s="21" t="s">
        <v>304</v>
      </c>
      <c r="C16" s="39">
        <v>6.32502541E8</v>
      </c>
      <c r="E16" s="39" t="s">
        <v>305</v>
      </c>
      <c r="G16" s="21" t="s">
        <v>249</v>
      </c>
      <c r="H16" s="21" t="s">
        <v>284</v>
      </c>
      <c r="I16" s="26" t="s">
        <v>112</v>
      </c>
      <c r="J16" s="21" t="s">
        <v>30</v>
      </c>
      <c r="K16" s="21" t="s">
        <v>280</v>
      </c>
      <c r="L16" s="35">
        <v>45916.0</v>
      </c>
      <c r="M16" s="31">
        <f t="shared" si="2"/>
        <v>45927</v>
      </c>
      <c r="N16" s="31">
        <f t="shared" si="3"/>
        <v>45936</v>
      </c>
      <c r="Q16" s="31">
        <v>45938.0</v>
      </c>
      <c r="R16" s="31">
        <v>45927.0</v>
      </c>
      <c r="T16" s="21" t="s">
        <v>23</v>
      </c>
    </row>
    <row r="17">
      <c r="A17" s="38">
        <f t="shared" si="1"/>
        <v>16</v>
      </c>
      <c r="B17" s="21" t="s">
        <v>306</v>
      </c>
      <c r="C17" s="39">
        <v>6.32502542E8</v>
      </c>
      <c r="E17" s="39" t="s">
        <v>307</v>
      </c>
      <c r="G17" s="21" t="s">
        <v>249</v>
      </c>
      <c r="H17" s="21" t="s">
        <v>284</v>
      </c>
      <c r="I17" s="26" t="s">
        <v>112</v>
      </c>
      <c r="J17" s="21" t="s">
        <v>30</v>
      </c>
      <c r="K17" s="21" t="s">
        <v>280</v>
      </c>
      <c r="L17" s="35">
        <v>45916.0</v>
      </c>
      <c r="M17" s="31">
        <f t="shared" si="2"/>
        <v>45927</v>
      </c>
      <c r="N17" s="31">
        <f t="shared" si="3"/>
        <v>45936</v>
      </c>
      <c r="Q17" s="31">
        <v>45938.0</v>
      </c>
      <c r="R17" s="31">
        <v>45927.0</v>
      </c>
      <c r="T17" s="21" t="s">
        <v>23</v>
      </c>
    </row>
    <row r="18">
      <c r="A18" s="38">
        <f t="shared" si="1"/>
        <v>17</v>
      </c>
      <c r="B18" s="21" t="s">
        <v>308</v>
      </c>
      <c r="C18" s="39">
        <v>6.32502543E8</v>
      </c>
      <c r="E18" s="39" t="s">
        <v>309</v>
      </c>
      <c r="G18" s="21" t="s">
        <v>249</v>
      </c>
      <c r="H18" s="21" t="s">
        <v>284</v>
      </c>
      <c r="I18" s="26" t="s">
        <v>112</v>
      </c>
      <c r="J18" s="21" t="s">
        <v>30</v>
      </c>
      <c r="K18" s="21" t="s">
        <v>280</v>
      </c>
      <c r="L18" s="35">
        <v>45916.0</v>
      </c>
      <c r="M18" s="31">
        <f t="shared" si="2"/>
        <v>45927</v>
      </c>
      <c r="N18" s="31">
        <f t="shared" si="3"/>
        <v>45936</v>
      </c>
      <c r="Q18" s="31">
        <v>45938.0</v>
      </c>
      <c r="R18" s="31">
        <v>45927.0</v>
      </c>
      <c r="T18" s="21" t="s">
        <v>23</v>
      </c>
    </row>
    <row r="19">
      <c r="A19" s="38">
        <f t="shared" si="1"/>
        <v>18</v>
      </c>
      <c r="B19" s="21" t="s">
        <v>310</v>
      </c>
      <c r="C19" s="39">
        <v>6.32502544E8</v>
      </c>
      <c r="E19" s="39" t="s">
        <v>311</v>
      </c>
      <c r="G19" s="21" t="s">
        <v>249</v>
      </c>
      <c r="H19" s="21" t="s">
        <v>284</v>
      </c>
      <c r="I19" s="26" t="s">
        <v>112</v>
      </c>
      <c r="J19" s="21" t="s">
        <v>30</v>
      </c>
      <c r="K19" s="21" t="s">
        <v>280</v>
      </c>
      <c r="L19" s="35">
        <v>45916.0</v>
      </c>
      <c r="M19" s="31">
        <f t="shared" si="2"/>
        <v>45927</v>
      </c>
      <c r="N19" s="31">
        <f t="shared" si="3"/>
        <v>45936</v>
      </c>
      <c r="Q19" s="31">
        <v>45938.0</v>
      </c>
      <c r="R19" s="31">
        <v>45927.0</v>
      </c>
      <c r="T19" s="21" t="s">
        <v>23</v>
      </c>
    </row>
    <row r="20">
      <c r="A20" s="38">
        <f t="shared" si="1"/>
        <v>19</v>
      </c>
      <c r="B20" s="21" t="s">
        <v>312</v>
      </c>
      <c r="C20" s="39">
        <v>6.32502545E8</v>
      </c>
      <c r="E20" s="39" t="s">
        <v>313</v>
      </c>
      <c r="G20" s="21" t="s">
        <v>249</v>
      </c>
      <c r="H20" s="21" t="s">
        <v>284</v>
      </c>
      <c r="I20" s="26" t="s">
        <v>112</v>
      </c>
      <c r="J20" s="21" t="s">
        <v>30</v>
      </c>
      <c r="K20" s="21" t="s">
        <v>280</v>
      </c>
      <c r="L20" s="35">
        <v>45916.0</v>
      </c>
      <c r="M20" s="31">
        <f t="shared" si="2"/>
        <v>45927</v>
      </c>
      <c r="N20" s="31">
        <f t="shared" si="3"/>
        <v>45936</v>
      </c>
      <c r="Q20" s="31">
        <v>45938.0</v>
      </c>
      <c r="R20" s="31">
        <v>45927.0</v>
      </c>
      <c r="T20" s="21" t="s">
        <v>23</v>
      </c>
    </row>
    <row r="21">
      <c r="A21" s="38">
        <f t="shared" si="1"/>
        <v>20</v>
      </c>
      <c r="B21" s="21" t="s">
        <v>314</v>
      </c>
      <c r="C21" s="39">
        <v>6.32502546E8</v>
      </c>
      <c r="E21" s="39" t="s">
        <v>315</v>
      </c>
      <c r="G21" s="21" t="s">
        <v>249</v>
      </c>
      <c r="H21" s="21" t="s">
        <v>284</v>
      </c>
      <c r="I21" s="26" t="s">
        <v>112</v>
      </c>
      <c r="J21" s="21" t="s">
        <v>30</v>
      </c>
      <c r="K21" s="21" t="s">
        <v>280</v>
      </c>
      <c r="L21" s="35">
        <v>45916.0</v>
      </c>
      <c r="M21" s="31">
        <f t="shared" si="2"/>
        <v>45927</v>
      </c>
      <c r="N21" s="31">
        <f t="shared" si="3"/>
        <v>45936</v>
      </c>
      <c r="Q21" s="31">
        <v>45938.0</v>
      </c>
      <c r="R21" s="31">
        <v>45927.0</v>
      </c>
      <c r="T21" s="21" t="s">
        <v>23</v>
      </c>
    </row>
    <row r="22">
      <c r="A22" s="38">
        <f t="shared" si="1"/>
        <v>21</v>
      </c>
      <c r="B22" s="21" t="s">
        <v>316</v>
      </c>
      <c r="C22" s="39">
        <v>6.32502547E8</v>
      </c>
      <c r="E22" s="39" t="s">
        <v>317</v>
      </c>
      <c r="G22" s="21" t="s">
        <v>249</v>
      </c>
      <c r="H22" s="21" t="s">
        <v>284</v>
      </c>
      <c r="I22" s="26" t="s">
        <v>112</v>
      </c>
      <c r="J22" s="21" t="s">
        <v>30</v>
      </c>
      <c r="K22" s="21" t="s">
        <v>280</v>
      </c>
      <c r="L22" s="35">
        <v>45916.0</v>
      </c>
      <c r="M22" s="31">
        <f t="shared" si="2"/>
        <v>45927</v>
      </c>
      <c r="N22" s="31">
        <f t="shared" si="3"/>
        <v>45936</v>
      </c>
      <c r="Q22" s="31">
        <v>45938.0</v>
      </c>
      <c r="R22" s="31">
        <v>45927.0</v>
      </c>
      <c r="T22" s="21" t="s">
        <v>23</v>
      </c>
    </row>
    <row r="23">
      <c r="A23" s="38">
        <f t="shared" si="1"/>
        <v>22</v>
      </c>
      <c r="B23" s="21" t="s">
        <v>318</v>
      </c>
      <c r="C23" s="39">
        <v>6.32502548E8</v>
      </c>
      <c r="E23" s="39" t="s">
        <v>319</v>
      </c>
      <c r="G23" s="21" t="s">
        <v>249</v>
      </c>
      <c r="H23" s="21" t="s">
        <v>284</v>
      </c>
      <c r="I23" s="26" t="s">
        <v>112</v>
      </c>
      <c r="J23" s="21" t="s">
        <v>30</v>
      </c>
      <c r="K23" s="21" t="s">
        <v>280</v>
      </c>
      <c r="L23" s="35">
        <v>45916.0</v>
      </c>
      <c r="M23" s="31">
        <f t="shared" si="2"/>
        <v>45927</v>
      </c>
      <c r="N23" s="31">
        <f t="shared" si="3"/>
        <v>45936</v>
      </c>
      <c r="Q23" s="31">
        <v>45938.0</v>
      </c>
      <c r="R23" s="31">
        <v>45927.0</v>
      </c>
      <c r="T23" s="21" t="s">
        <v>23</v>
      </c>
    </row>
    <row r="24">
      <c r="A24" s="38">
        <f t="shared" si="1"/>
        <v>23</v>
      </c>
      <c r="B24" s="21" t="s">
        <v>320</v>
      </c>
      <c r="C24" s="39">
        <v>6.32502549E8</v>
      </c>
      <c r="E24" s="39" t="s">
        <v>321</v>
      </c>
      <c r="G24" s="21" t="s">
        <v>249</v>
      </c>
      <c r="H24" s="21" t="s">
        <v>284</v>
      </c>
      <c r="I24" s="26" t="s">
        <v>112</v>
      </c>
      <c r="J24" s="21" t="s">
        <v>30</v>
      </c>
      <c r="K24" s="21" t="s">
        <v>280</v>
      </c>
      <c r="L24" s="35">
        <v>45916.0</v>
      </c>
      <c r="M24" s="31">
        <f t="shared" si="2"/>
        <v>45927</v>
      </c>
      <c r="N24" s="31">
        <f t="shared" si="3"/>
        <v>45936</v>
      </c>
      <c r="Q24" s="31">
        <v>45938.0</v>
      </c>
      <c r="R24" s="31">
        <v>45927.0</v>
      </c>
      <c r="T24" s="21" t="s">
        <v>23</v>
      </c>
    </row>
    <row r="25">
      <c r="A25" s="38">
        <f t="shared" si="1"/>
        <v>24</v>
      </c>
      <c r="B25" s="21" t="s">
        <v>322</v>
      </c>
      <c r="C25" s="39">
        <v>6.3250255E8</v>
      </c>
      <c r="E25" s="39" t="s">
        <v>323</v>
      </c>
      <c r="G25" s="21" t="s">
        <v>249</v>
      </c>
      <c r="H25" s="21" t="s">
        <v>284</v>
      </c>
      <c r="I25" s="26" t="s">
        <v>112</v>
      </c>
      <c r="J25" s="21" t="s">
        <v>30</v>
      </c>
      <c r="K25" s="21" t="s">
        <v>280</v>
      </c>
      <c r="L25" s="35">
        <v>45916.0</v>
      </c>
      <c r="M25" s="31">
        <f t="shared" si="2"/>
        <v>45927</v>
      </c>
      <c r="N25" s="31">
        <f t="shared" si="3"/>
        <v>45936</v>
      </c>
      <c r="Q25" s="31">
        <v>45938.0</v>
      </c>
      <c r="R25" s="31">
        <v>45927.0</v>
      </c>
      <c r="T25" s="21" t="s">
        <v>23</v>
      </c>
    </row>
    <row r="26">
      <c r="A26" s="38">
        <f t="shared" si="1"/>
        <v>25</v>
      </c>
      <c r="B26" s="21" t="s">
        <v>324</v>
      </c>
      <c r="C26" s="39">
        <v>6.32502551E8</v>
      </c>
      <c r="E26" s="39" t="s">
        <v>325</v>
      </c>
      <c r="G26" s="21" t="s">
        <v>249</v>
      </c>
      <c r="H26" s="21" t="s">
        <v>284</v>
      </c>
      <c r="I26" s="26" t="s">
        <v>112</v>
      </c>
      <c r="J26" s="21" t="s">
        <v>30</v>
      </c>
      <c r="K26" s="21" t="s">
        <v>280</v>
      </c>
      <c r="L26" s="35">
        <v>45916.0</v>
      </c>
      <c r="M26" s="31">
        <f t="shared" si="2"/>
        <v>45927</v>
      </c>
      <c r="N26" s="31">
        <f t="shared" si="3"/>
        <v>45936</v>
      </c>
      <c r="Q26" s="31">
        <v>45938.0</v>
      </c>
      <c r="R26" s="31">
        <v>45927.0</v>
      </c>
      <c r="T26" s="21" t="s">
        <v>23</v>
      </c>
    </row>
    <row r="27">
      <c r="A27" s="38">
        <f t="shared" si="1"/>
        <v>26</v>
      </c>
      <c r="B27" s="21" t="s">
        <v>326</v>
      </c>
      <c r="C27" s="39">
        <v>6.32502552E8</v>
      </c>
      <c r="E27" s="39" t="s">
        <v>327</v>
      </c>
      <c r="G27" s="21" t="s">
        <v>249</v>
      </c>
      <c r="H27" s="21" t="s">
        <v>284</v>
      </c>
      <c r="I27" s="26" t="s">
        <v>112</v>
      </c>
      <c r="J27" s="21" t="s">
        <v>30</v>
      </c>
      <c r="K27" s="21" t="s">
        <v>280</v>
      </c>
      <c r="L27" s="35">
        <v>45916.0</v>
      </c>
      <c r="M27" s="31">
        <f t="shared" si="2"/>
        <v>45927</v>
      </c>
      <c r="N27" s="31">
        <f t="shared" si="3"/>
        <v>45936</v>
      </c>
      <c r="Q27" s="31">
        <v>45938.0</v>
      </c>
      <c r="R27" s="31">
        <v>45927.0</v>
      </c>
      <c r="T27" s="21" t="s">
        <v>23</v>
      </c>
    </row>
    <row r="28">
      <c r="A28" s="38">
        <f t="shared" si="1"/>
        <v>27</v>
      </c>
      <c r="B28" s="39" t="s">
        <v>328</v>
      </c>
      <c r="C28" s="39">
        <v>6.32502637E8</v>
      </c>
      <c r="D28" s="39"/>
      <c r="E28" s="39" t="s">
        <v>329</v>
      </c>
      <c r="G28" s="21" t="s">
        <v>249</v>
      </c>
      <c r="H28" s="21" t="s">
        <v>330</v>
      </c>
      <c r="I28" s="21" t="s">
        <v>264</v>
      </c>
      <c r="J28" s="21" t="s">
        <v>256</v>
      </c>
      <c r="K28" s="21" t="s">
        <v>280</v>
      </c>
      <c r="L28" s="40">
        <v>45918.0</v>
      </c>
      <c r="M28" s="31">
        <f t="shared" si="2"/>
        <v>45929</v>
      </c>
      <c r="N28" s="31">
        <f t="shared" si="3"/>
        <v>45938</v>
      </c>
      <c r="Q28" s="31">
        <v>45939.0</v>
      </c>
      <c r="R28" s="31">
        <v>45934.0</v>
      </c>
      <c r="T28" s="21" t="s">
        <v>23</v>
      </c>
    </row>
    <row r="29">
      <c r="A29" s="38">
        <f t="shared" si="1"/>
        <v>28</v>
      </c>
      <c r="B29" s="39" t="s">
        <v>331</v>
      </c>
      <c r="C29" s="39">
        <v>6.32502638E8</v>
      </c>
      <c r="D29" s="39"/>
      <c r="E29" s="39" t="s">
        <v>332</v>
      </c>
      <c r="G29" s="21" t="s">
        <v>249</v>
      </c>
      <c r="H29" s="21" t="s">
        <v>330</v>
      </c>
      <c r="I29" s="21" t="s">
        <v>264</v>
      </c>
      <c r="J29" s="21" t="s">
        <v>256</v>
      </c>
      <c r="K29" s="21" t="s">
        <v>280</v>
      </c>
      <c r="L29" s="40">
        <v>45918.0</v>
      </c>
      <c r="M29" s="31">
        <f t="shared" si="2"/>
        <v>45929</v>
      </c>
      <c r="N29" s="31">
        <f t="shared" si="3"/>
        <v>45938</v>
      </c>
      <c r="Q29" s="31">
        <v>45939.0</v>
      </c>
      <c r="R29" s="31">
        <v>45934.0</v>
      </c>
      <c r="T29" s="21" t="s">
        <v>23</v>
      </c>
    </row>
    <row r="30">
      <c r="A30" s="38">
        <f t="shared" si="1"/>
        <v>29</v>
      </c>
      <c r="B30" s="39" t="s">
        <v>333</v>
      </c>
      <c r="C30" s="39">
        <v>6.32502556E8</v>
      </c>
      <c r="D30" s="39"/>
      <c r="E30" s="39" t="s">
        <v>334</v>
      </c>
      <c r="G30" s="21" t="s">
        <v>249</v>
      </c>
      <c r="H30" s="21" t="s">
        <v>335</v>
      </c>
      <c r="I30" s="21" t="s">
        <v>264</v>
      </c>
      <c r="J30" s="21" t="s">
        <v>256</v>
      </c>
      <c r="K30" s="21" t="s">
        <v>280</v>
      </c>
      <c r="L30" s="40">
        <v>45917.0</v>
      </c>
      <c r="M30" s="31">
        <f t="shared" si="2"/>
        <v>45928</v>
      </c>
      <c r="N30" s="31">
        <f t="shared" si="3"/>
        <v>45937</v>
      </c>
      <c r="Q30" s="31">
        <v>45939.0</v>
      </c>
      <c r="R30" s="31">
        <v>45934.0</v>
      </c>
      <c r="T30" s="21" t="s">
        <v>23</v>
      </c>
    </row>
  </sheetData>
  <dataValidations>
    <dataValidation type="list" allowBlank="1" showErrorMessage="1" sqref="T1:T30">
      <formula1>"Released,Ongoing,pending"</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6.25"/>
    <col customWidth="1" min="4" max="4" width="10.88"/>
    <col customWidth="1" min="5" max="5" width="47.63"/>
    <col customWidth="1" min="6" max="6" width="14.25"/>
    <col customWidth="1" min="7" max="7" width="67.38"/>
    <col customWidth="1" min="8" max="8" width="22.63"/>
    <col customWidth="1" min="9" max="9" width="48.88"/>
    <col customWidth="1" min="10" max="10" width="15.25"/>
    <col customWidth="1" min="11" max="11" width="73.13"/>
    <col customWidth="1" min="12" max="12" width="17.0"/>
    <col customWidth="1" min="13" max="13" width="16.13"/>
    <col customWidth="1" min="14" max="14" width="13.38"/>
    <col customWidth="1" min="15" max="15" width="16.63"/>
    <col customWidth="1" min="16" max="16" width="24.75"/>
    <col customWidth="1" min="17" max="17" width="18.63"/>
    <col customWidth="1" min="18" max="18" width="22.38"/>
  </cols>
  <sheetData>
    <row r="1">
      <c r="A1" s="42" t="s">
        <v>0</v>
      </c>
      <c r="B1" s="42" t="s">
        <v>1</v>
      </c>
      <c r="C1" s="42" t="s">
        <v>2</v>
      </c>
      <c r="D1" s="42" t="s">
        <v>3</v>
      </c>
      <c r="E1" s="42" t="s">
        <v>4</v>
      </c>
      <c r="F1" s="43" t="s">
        <v>336</v>
      </c>
      <c r="G1" s="42" t="s">
        <v>5</v>
      </c>
      <c r="H1" s="44" t="s">
        <v>34</v>
      </c>
      <c r="I1" s="42" t="s">
        <v>6</v>
      </c>
      <c r="J1" s="42" t="s">
        <v>7</v>
      </c>
      <c r="K1" s="2" t="s">
        <v>35</v>
      </c>
      <c r="L1" s="37" t="s">
        <v>9</v>
      </c>
      <c r="M1" s="37" t="s">
        <v>245</v>
      </c>
      <c r="N1" s="37" t="s">
        <v>246</v>
      </c>
      <c r="O1" s="17" t="s">
        <v>337</v>
      </c>
      <c r="P1" s="2" t="s">
        <v>12</v>
      </c>
      <c r="Q1" s="17" t="s">
        <v>338</v>
      </c>
      <c r="R1" s="2" t="s">
        <v>270</v>
      </c>
      <c r="S1" s="3" t="s">
        <v>15</v>
      </c>
    </row>
    <row r="2">
      <c r="A2" s="45">
        <f t="shared" ref="A2:A9" si="1">ROW(A2)-1</f>
        <v>1</v>
      </c>
      <c r="B2" s="46" t="s">
        <v>339</v>
      </c>
      <c r="C2" s="47"/>
      <c r="D2" s="48" t="s">
        <v>340</v>
      </c>
      <c r="E2" s="49" t="s">
        <v>341</v>
      </c>
      <c r="F2" s="50" t="s">
        <v>342</v>
      </c>
      <c r="G2" s="51" t="s">
        <v>18</v>
      </c>
      <c r="H2" s="52" t="s">
        <v>126</v>
      </c>
      <c r="I2" s="50" t="s">
        <v>343</v>
      </c>
      <c r="J2" s="48" t="s">
        <v>344</v>
      </c>
      <c r="L2" s="53">
        <v>45966.0</v>
      </c>
      <c r="M2" s="35">
        <f t="shared" ref="M2:M22" si="2">L2+11</f>
        <v>45977</v>
      </c>
      <c r="N2" s="31">
        <f t="shared" ref="N2:N22" si="3">L2+19</f>
        <v>45985</v>
      </c>
      <c r="O2" s="53">
        <v>45975.0</v>
      </c>
      <c r="P2" s="54">
        <v>45986.0</v>
      </c>
      <c r="S2" s="21" t="s">
        <v>23</v>
      </c>
    </row>
    <row r="3">
      <c r="A3" s="45">
        <f t="shared" si="1"/>
        <v>2</v>
      </c>
      <c r="B3" s="46" t="s">
        <v>345</v>
      </c>
      <c r="C3" s="47"/>
      <c r="D3" s="48" t="s">
        <v>340</v>
      </c>
      <c r="E3" s="49" t="s">
        <v>346</v>
      </c>
      <c r="F3" s="49"/>
      <c r="G3" s="51" t="s">
        <v>18</v>
      </c>
      <c r="H3" s="52" t="s">
        <v>126</v>
      </c>
      <c r="I3" s="50" t="s">
        <v>343</v>
      </c>
      <c r="J3" s="48" t="s">
        <v>344</v>
      </c>
      <c r="L3" s="53">
        <v>45966.0</v>
      </c>
      <c r="M3" s="35">
        <f t="shared" si="2"/>
        <v>45977</v>
      </c>
      <c r="N3" s="31">
        <f t="shared" si="3"/>
        <v>45985</v>
      </c>
      <c r="O3" s="53">
        <v>45975.0</v>
      </c>
      <c r="P3" s="54">
        <v>45986.0</v>
      </c>
      <c r="S3" s="21" t="s">
        <v>23</v>
      </c>
    </row>
    <row r="4">
      <c r="A4" s="45">
        <f t="shared" si="1"/>
        <v>3</v>
      </c>
      <c r="B4" s="46" t="s">
        <v>347</v>
      </c>
      <c r="C4" s="47"/>
      <c r="D4" s="48" t="s">
        <v>340</v>
      </c>
      <c r="E4" s="49" t="s">
        <v>348</v>
      </c>
      <c r="F4" s="49"/>
      <c r="G4" s="51" t="s">
        <v>18</v>
      </c>
      <c r="H4" s="52" t="s">
        <v>126</v>
      </c>
      <c r="I4" s="50" t="s">
        <v>343</v>
      </c>
      <c r="J4" s="48" t="s">
        <v>344</v>
      </c>
      <c r="L4" s="53">
        <v>45966.0</v>
      </c>
      <c r="M4" s="35">
        <f t="shared" si="2"/>
        <v>45977</v>
      </c>
      <c r="N4" s="31">
        <f t="shared" si="3"/>
        <v>45985</v>
      </c>
      <c r="O4" s="53">
        <v>45975.0</v>
      </c>
      <c r="P4" s="54">
        <v>45986.0</v>
      </c>
      <c r="S4" s="21" t="s">
        <v>23</v>
      </c>
    </row>
    <row r="5">
      <c r="A5" s="45">
        <f t="shared" si="1"/>
        <v>4</v>
      </c>
      <c r="B5" s="46" t="s">
        <v>349</v>
      </c>
      <c r="C5" s="47"/>
      <c r="D5" s="48" t="s">
        <v>340</v>
      </c>
      <c r="E5" s="49" t="s">
        <v>350</v>
      </c>
      <c r="F5" s="49"/>
      <c r="G5" s="51" t="s">
        <v>18</v>
      </c>
      <c r="H5" s="52" t="s">
        <v>126</v>
      </c>
      <c r="I5" s="50" t="s">
        <v>343</v>
      </c>
      <c r="J5" s="48" t="s">
        <v>344</v>
      </c>
      <c r="L5" s="53">
        <v>45966.0</v>
      </c>
      <c r="M5" s="35">
        <f t="shared" si="2"/>
        <v>45977</v>
      </c>
      <c r="N5" s="31">
        <f t="shared" si="3"/>
        <v>45985</v>
      </c>
      <c r="O5" s="53">
        <v>45975.0</v>
      </c>
      <c r="P5" s="54">
        <v>45986.0</v>
      </c>
      <c r="S5" s="21" t="s">
        <v>23</v>
      </c>
    </row>
    <row r="6">
      <c r="A6" s="45">
        <f t="shared" si="1"/>
        <v>5</v>
      </c>
      <c r="B6" s="46" t="s">
        <v>351</v>
      </c>
      <c r="C6" s="47"/>
      <c r="D6" s="48" t="s">
        <v>340</v>
      </c>
      <c r="E6" s="49" t="s">
        <v>352</v>
      </c>
      <c r="F6" s="49"/>
      <c r="G6" s="51" t="s">
        <v>18</v>
      </c>
      <c r="H6" s="52" t="s">
        <v>126</v>
      </c>
      <c r="I6" s="50" t="s">
        <v>343</v>
      </c>
      <c r="J6" s="48" t="s">
        <v>344</v>
      </c>
      <c r="L6" s="53">
        <v>45966.0</v>
      </c>
      <c r="M6" s="35">
        <f t="shared" si="2"/>
        <v>45977</v>
      </c>
      <c r="N6" s="31">
        <f t="shared" si="3"/>
        <v>45985</v>
      </c>
      <c r="O6" s="53">
        <v>45975.0</v>
      </c>
      <c r="P6" s="54">
        <v>45986.0</v>
      </c>
      <c r="S6" s="21" t="s">
        <v>23</v>
      </c>
    </row>
    <row r="7">
      <c r="A7" s="45">
        <f t="shared" si="1"/>
        <v>6</v>
      </c>
      <c r="B7" s="46" t="s">
        <v>353</v>
      </c>
      <c r="C7" s="47"/>
      <c r="D7" s="48" t="s">
        <v>340</v>
      </c>
      <c r="E7" s="49" t="s">
        <v>354</v>
      </c>
      <c r="F7" s="49"/>
      <c r="G7" s="51" t="s">
        <v>18</v>
      </c>
      <c r="H7" s="52" t="s">
        <v>126</v>
      </c>
      <c r="I7" s="50" t="s">
        <v>343</v>
      </c>
      <c r="J7" s="48" t="s">
        <v>344</v>
      </c>
      <c r="L7" s="53">
        <v>45966.0</v>
      </c>
      <c r="M7" s="35">
        <f t="shared" si="2"/>
        <v>45977</v>
      </c>
      <c r="N7" s="31">
        <f t="shared" si="3"/>
        <v>45985</v>
      </c>
      <c r="O7" s="53">
        <v>45975.0</v>
      </c>
      <c r="P7" s="54">
        <v>45986.0</v>
      </c>
      <c r="S7" s="21" t="s">
        <v>23</v>
      </c>
    </row>
    <row r="8">
      <c r="A8" s="45">
        <f t="shared" si="1"/>
        <v>7</v>
      </c>
      <c r="B8" s="48" t="s">
        <v>355</v>
      </c>
      <c r="C8" s="48">
        <v>6.32503454E8</v>
      </c>
      <c r="D8" s="48" t="s">
        <v>356</v>
      </c>
      <c r="E8" s="49" t="s">
        <v>357</v>
      </c>
      <c r="F8" s="49"/>
      <c r="G8" s="49" t="s">
        <v>18</v>
      </c>
      <c r="H8" s="55" t="s">
        <v>335</v>
      </c>
      <c r="I8" s="50" t="s">
        <v>358</v>
      </c>
      <c r="J8" s="48" t="s">
        <v>359</v>
      </c>
      <c r="L8" s="53">
        <v>45967.0</v>
      </c>
      <c r="M8" s="35">
        <f t="shared" si="2"/>
        <v>45978</v>
      </c>
      <c r="N8" s="31">
        <f t="shared" si="3"/>
        <v>45986</v>
      </c>
      <c r="O8" s="53">
        <v>45979.0</v>
      </c>
      <c r="P8" s="54">
        <v>45986.0</v>
      </c>
      <c r="S8" s="21" t="s">
        <v>23</v>
      </c>
    </row>
    <row r="9">
      <c r="A9" s="45">
        <f t="shared" si="1"/>
        <v>8</v>
      </c>
      <c r="B9" s="48" t="s">
        <v>360</v>
      </c>
      <c r="C9" s="48">
        <v>6.32503457E8</v>
      </c>
      <c r="D9" s="48" t="s">
        <v>356</v>
      </c>
      <c r="E9" s="49" t="s">
        <v>361</v>
      </c>
      <c r="F9" s="49"/>
      <c r="G9" s="49" t="s">
        <v>18</v>
      </c>
      <c r="H9" s="55" t="s">
        <v>335</v>
      </c>
      <c r="I9" s="50" t="s">
        <v>358</v>
      </c>
      <c r="J9" s="48" t="s">
        <v>359</v>
      </c>
      <c r="L9" s="53">
        <v>45967.0</v>
      </c>
      <c r="M9" s="35">
        <f t="shared" si="2"/>
        <v>45978</v>
      </c>
      <c r="N9" s="31">
        <f t="shared" si="3"/>
        <v>45986</v>
      </c>
      <c r="O9" s="53">
        <v>45979.0</v>
      </c>
      <c r="P9" s="54">
        <v>45986.0</v>
      </c>
      <c r="S9" s="21" t="s">
        <v>23</v>
      </c>
    </row>
    <row r="10">
      <c r="A10" s="56">
        <v>9.0</v>
      </c>
      <c r="B10" s="57" t="s">
        <v>362</v>
      </c>
      <c r="C10" s="57">
        <v>6.32503471E8</v>
      </c>
      <c r="D10" s="45"/>
      <c r="E10" s="58" t="s">
        <v>363</v>
      </c>
      <c r="F10" s="45"/>
      <c r="G10" s="58" t="s">
        <v>18</v>
      </c>
      <c r="H10" s="59" t="s">
        <v>273</v>
      </c>
      <c r="I10" s="50" t="s">
        <v>358</v>
      </c>
      <c r="J10" s="57" t="s">
        <v>359</v>
      </c>
      <c r="L10" s="53">
        <v>45968.0</v>
      </c>
      <c r="M10" s="35">
        <f t="shared" si="2"/>
        <v>45979</v>
      </c>
      <c r="N10" s="31">
        <f t="shared" si="3"/>
        <v>45987</v>
      </c>
      <c r="O10" s="53">
        <v>45983.0</v>
      </c>
      <c r="P10" s="60">
        <v>45992.0</v>
      </c>
      <c r="S10" s="21" t="s">
        <v>23</v>
      </c>
    </row>
    <row r="11">
      <c r="A11" s="45">
        <f t="shared" ref="A11:A72" si="4">ROW(A11)-1</f>
        <v>10</v>
      </c>
      <c r="B11" s="61" t="s">
        <v>364</v>
      </c>
      <c r="C11" s="45"/>
      <c r="D11" s="48" t="s">
        <v>365</v>
      </c>
      <c r="E11" s="49" t="s">
        <v>366</v>
      </c>
      <c r="F11" s="45"/>
      <c r="G11" s="51" t="s">
        <v>18</v>
      </c>
      <c r="H11" s="55" t="s">
        <v>367</v>
      </c>
      <c r="I11" s="50" t="s">
        <v>343</v>
      </c>
      <c r="J11" s="48" t="s">
        <v>368</v>
      </c>
      <c r="L11" s="53">
        <v>45975.0</v>
      </c>
      <c r="M11" s="35">
        <f t="shared" si="2"/>
        <v>45986</v>
      </c>
      <c r="N11" s="31">
        <f t="shared" si="3"/>
        <v>45994</v>
      </c>
      <c r="O11" s="54">
        <v>45988.0</v>
      </c>
      <c r="P11" s="60">
        <v>45996.0</v>
      </c>
      <c r="S11" s="21" t="s">
        <v>23</v>
      </c>
    </row>
    <row r="12">
      <c r="A12" s="45">
        <f t="shared" si="4"/>
        <v>11</v>
      </c>
      <c r="B12" s="62" t="s">
        <v>369</v>
      </c>
      <c r="C12" s="45"/>
      <c r="D12" s="48" t="s">
        <v>365</v>
      </c>
      <c r="E12" s="49" t="s">
        <v>370</v>
      </c>
      <c r="F12" s="45"/>
      <c r="G12" s="51" t="s">
        <v>18</v>
      </c>
      <c r="H12" s="55" t="s">
        <v>367</v>
      </c>
      <c r="I12" s="50" t="s">
        <v>343</v>
      </c>
      <c r="J12" s="48" t="s">
        <v>368</v>
      </c>
      <c r="L12" s="53">
        <v>45975.0</v>
      </c>
      <c r="M12" s="35">
        <f t="shared" si="2"/>
        <v>45986</v>
      </c>
      <c r="N12" s="31">
        <f t="shared" si="3"/>
        <v>45994</v>
      </c>
      <c r="O12" s="54">
        <v>45988.0</v>
      </c>
      <c r="P12" s="60">
        <v>45996.0</v>
      </c>
      <c r="S12" s="21" t="s">
        <v>23</v>
      </c>
    </row>
    <row r="13">
      <c r="A13" s="45">
        <f t="shared" si="4"/>
        <v>12</v>
      </c>
      <c r="B13" s="62" t="s">
        <v>371</v>
      </c>
      <c r="C13" s="45"/>
      <c r="D13" s="48" t="s">
        <v>365</v>
      </c>
      <c r="E13" s="49" t="s">
        <v>372</v>
      </c>
      <c r="F13" s="45"/>
      <c r="G13" s="51" t="s">
        <v>18</v>
      </c>
      <c r="H13" s="55" t="s">
        <v>367</v>
      </c>
      <c r="I13" s="50" t="s">
        <v>343</v>
      </c>
      <c r="J13" s="48" t="s">
        <v>368</v>
      </c>
      <c r="L13" s="53">
        <v>45975.0</v>
      </c>
      <c r="M13" s="35">
        <f t="shared" si="2"/>
        <v>45986</v>
      </c>
      <c r="N13" s="31">
        <f t="shared" si="3"/>
        <v>45994</v>
      </c>
      <c r="O13" s="54">
        <v>45988.0</v>
      </c>
      <c r="P13" s="60">
        <v>45996.0</v>
      </c>
      <c r="S13" s="21" t="s">
        <v>23</v>
      </c>
    </row>
    <row r="14">
      <c r="A14" s="45">
        <f t="shared" si="4"/>
        <v>13</v>
      </c>
      <c r="B14" s="63" t="s">
        <v>373</v>
      </c>
      <c r="C14" s="45"/>
      <c r="D14" s="48" t="s">
        <v>365</v>
      </c>
      <c r="E14" s="49" t="s">
        <v>374</v>
      </c>
      <c r="F14" s="45"/>
      <c r="G14" s="51" t="s">
        <v>18</v>
      </c>
      <c r="H14" s="64"/>
      <c r="I14" s="56" t="s">
        <v>375</v>
      </c>
      <c r="J14" s="48" t="s">
        <v>368</v>
      </c>
      <c r="L14" s="53">
        <v>45975.0</v>
      </c>
      <c r="M14" s="35">
        <f t="shared" si="2"/>
        <v>45986</v>
      </c>
      <c r="N14" s="31">
        <f t="shared" si="3"/>
        <v>45994</v>
      </c>
      <c r="O14" s="54">
        <v>45988.0</v>
      </c>
      <c r="P14" s="60">
        <v>45994.0</v>
      </c>
      <c r="S14" s="21" t="s">
        <v>23</v>
      </c>
    </row>
    <row r="15">
      <c r="A15" s="45">
        <f t="shared" si="4"/>
        <v>14</v>
      </c>
      <c r="B15" s="65" t="s">
        <v>376</v>
      </c>
      <c r="C15" s="65">
        <v>6.32503594E8</v>
      </c>
      <c r="D15" s="66"/>
      <c r="E15" s="67" t="s">
        <v>377</v>
      </c>
      <c r="F15" s="67"/>
      <c r="G15" s="68" t="s">
        <v>18</v>
      </c>
      <c r="H15" s="69"/>
      <c r="I15" s="50" t="s">
        <v>358</v>
      </c>
      <c r="J15" s="66" t="s">
        <v>378</v>
      </c>
      <c r="K15" s="70"/>
      <c r="L15" s="71">
        <v>45976.0</v>
      </c>
      <c r="M15" s="72">
        <f t="shared" si="2"/>
        <v>45987</v>
      </c>
      <c r="N15" s="73">
        <f t="shared" si="3"/>
        <v>45995</v>
      </c>
      <c r="O15" s="21" t="s">
        <v>379</v>
      </c>
      <c r="P15" s="54">
        <v>45986.0</v>
      </c>
      <c r="S15" s="21" t="s">
        <v>23</v>
      </c>
    </row>
    <row r="16">
      <c r="A16" s="45">
        <f t="shared" si="4"/>
        <v>15</v>
      </c>
      <c r="B16" s="74" t="s">
        <v>380</v>
      </c>
      <c r="C16" s="45"/>
      <c r="D16" s="45"/>
      <c r="E16" s="49" t="s">
        <v>381</v>
      </c>
      <c r="F16" s="45"/>
      <c r="G16" s="51" t="s">
        <v>382</v>
      </c>
      <c r="H16" s="52"/>
      <c r="I16" s="50" t="s">
        <v>358</v>
      </c>
      <c r="J16" s="48" t="s">
        <v>359</v>
      </c>
      <c r="L16" s="75">
        <v>45982.0</v>
      </c>
      <c r="M16" s="35">
        <f t="shared" si="2"/>
        <v>45993</v>
      </c>
      <c r="N16" s="35">
        <f t="shared" si="3"/>
        <v>46001</v>
      </c>
      <c r="O16" s="60">
        <v>45993.0</v>
      </c>
      <c r="P16" s="60">
        <v>46000.0</v>
      </c>
      <c r="S16" s="21" t="s">
        <v>23</v>
      </c>
    </row>
    <row r="17">
      <c r="A17" s="45">
        <f t="shared" si="4"/>
        <v>16</v>
      </c>
      <c r="B17" s="74" t="s">
        <v>383</v>
      </c>
      <c r="C17" s="45"/>
      <c r="D17" s="45"/>
      <c r="E17" s="49" t="s">
        <v>384</v>
      </c>
      <c r="F17" s="45"/>
      <c r="G17" s="51" t="s">
        <v>18</v>
      </c>
      <c r="H17" s="52"/>
      <c r="I17" s="50" t="s">
        <v>358</v>
      </c>
      <c r="J17" s="48" t="s">
        <v>359</v>
      </c>
      <c r="L17" s="75">
        <v>45982.0</v>
      </c>
      <c r="M17" s="35">
        <f t="shared" si="2"/>
        <v>45993</v>
      </c>
      <c r="N17" s="35">
        <f t="shared" si="3"/>
        <v>46001</v>
      </c>
      <c r="O17" s="60">
        <v>45993.0</v>
      </c>
      <c r="P17" s="60">
        <v>46000.0</v>
      </c>
      <c r="S17" s="21" t="s">
        <v>23</v>
      </c>
    </row>
    <row r="18">
      <c r="A18" s="45">
        <f t="shared" si="4"/>
        <v>17</v>
      </c>
      <c r="B18" s="46" t="s">
        <v>385</v>
      </c>
      <c r="C18" s="45"/>
      <c r="D18" s="45"/>
      <c r="E18" s="49" t="s">
        <v>386</v>
      </c>
      <c r="F18" s="45"/>
      <c r="G18" s="51" t="s">
        <v>18</v>
      </c>
      <c r="H18" s="52" t="s">
        <v>126</v>
      </c>
      <c r="I18" s="50" t="s">
        <v>343</v>
      </c>
      <c r="J18" s="49" t="s">
        <v>359</v>
      </c>
      <c r="L18" s="49" t="s">
        <v>387</v>
      </c>
      <c r="M18" s="35">
        <f t="shared" si="2"/>
        <v>45991</v>
      </c>
      <c r="N18" s="35">
        <f t="shared" si="3"/>
        <v>45999</v>
      </c>
      <c r="O18" s="60">
        <v>45997.0</v>
      </c>
      <c r="P18" s="54">
        <v>46002.0</v>
      </c>
      <c r="S18" s="21" t="s">
        <v>23</v>
      </c>
    </row>
    <row r="19">
      <c r="A19" s="45">
        <f t="shared" si="4"/>
        <v>18</v>
      </c>
      <c r="B19" s="46" t="s">
        <v>388</v>
      </c>
      <c r="C19" s="45"/>
      <c r="D19" s="45"/>
      <c r="E19" s="49" t="s">
        <v>389</v>
      </c>
      <c r="F19" s="45"/>
      <c r="G19" s="51" t="s">
        <v>18</v>
      </c>
      <c r="H19" s="52" t="s">
        <v>126</v>
      </c>
      <c r="I19" s="50" t="s">
        <v>343</v>
      </c>
      <c r="J19" s="49" t="s">
        <v>359</v>
      </c>
      <c r="L19" s="49" t="s">
        <v>387</v>
      </c>
      <c r="M19" s="35">
        <f t="shared" si="2"/>
        <v>45991</v>
      </c>
      <c r="N19" s="35">
        <f t="shared" si="3"/>
        <v>45999</v>
      </c>
      <c r="O19" s="60">
        <v>45997.0</v>
      </c>
      <c r="P19" s="54">
        <v>46002.0</v>
      </c>
      <c r="S19" s="21" t="s">
        <v>23</v>
      </c>
    </row>
    <row r="20">
      <c r="A20" s="45">
        <f t="shared" si="4"/>
        <v>19</v>
      </c>
      <c r="B20" s="46" t="s">
        <v>390</v>
      </c>
      <c r="C20" s="45"/>
      <c r="D20" s="45"/>
      <c r="E20" s="49" t="s">
        <v>391</v>
      </c>
      <c r="F20" s="45"/>
      <c r="G20" s="51" t="s">
        <v>18</v>
      </c>
      <c r="H20" s="52" t="s">
        <v>126</v>
      </c>
      <c r="I20" s="50" t="s">
        <v>343</v>
      </c>
      <c r="J20" s="49" t="s">
        <v>359</v>
      </c>
      <c r="L20" s="49" t="s">
        <v>387</v>
      </c>
      <c r="M20" s="35">
        <f t="shared" si="2"/>
        <v>45991</v>
      </c>
      <c r="N20" s="35">
        <f t="shared" si="3"/>
        <v>45999</v>
      </c>
      <c r="O20" s="60">
        <v>45997.0</v>
      </c>
      <c r="P20" s="54">
        <v>46002.0</v>
      </c>
      <c r="S20" s="21" t="s">
        <v>23</v>
      </c>
    </row>
    <row r="21">
      <c r="A21" s="45">
        <f t="shared" si="4"/>
        <v>20</v>
      </c>
      <c r="B21" s="46" t="s">
        <v>392</v>
      </c>
      <c r="C21" s="45"/>
      <c r="D21" s="45"/>
      <c r="E21" s="49" t="s">
        <v>393</v>
      </c>
      <c r="F21" s="45"/>
      <c r="G21" s="51" t="s">
        <v>18</v>
      </c>
      <c r="H21" s="52" t="s">
        <v>126</v>
      </c>
      <c r="I21" s="50" t="s">
        <v>343</v>
      </c>
      <c r="J21" s="49" t="s">
        <v>359</v>
      </c>
      <c r="L21" s="49" t="s">
        <v>387</v>
      </c>
      <c r="M21" s="35">
        <f t="shared" si="2"/>
        <v>45991</v>
      </c>
      <c r="N21" s="35">
        <f t="shared" si="3"/>
        <v>45999</v>
      </c>
      <c r="O21" s="60">
        <v>45997.0</v>
      </c>
      <c r="P21" s="54">
        <v>46002.0</v>
      </c>
      <c r="S21" s="21" t="s">
        <v>23</v>
      </c>
    </row>
    <row r="22">
      <c r="A22" s="45">
        <f t="shared" si="4"/>
        <v>21</v>
      </c>
      <c r="B22" s="46" t="s">
        <v>394</v>
      </c>
      <c r="C22" s="45"/>
      <c r="D22" s="45"/>
      <c r="E22" s="49" t="s">
        <v>395</v>
      </c>
      <c r="F22" s="45"/>
      <c r="G22" s="51" t="s">
        <v>18</v>
      </c>
      <c r="H22" s="52" t="s">
        <v>126</v>
      </c>
      <c r="I22" s="50" t="s">
        <v>343</v>
      </c>
      <c r="J22" s="49" t="s">
        <v>359</v>
      </c>
      <c r="L22" s="49" t="s">
        <v>387</v>
      </c>
      <c r="M22" s="35">
        <f t="shared" si="2"/>
        <v>45991</v>
      </c>
      <c r="N22" s="35">
        <f t="shared" si="3"/>
        <v>45999</v>
      </c>
      <c r="O22" s="60">
        <v>45997.0</v>
      </c>
      <c r="P22" s="54">
        <v>46002.0</v>
      </c>
      <c r="S22" s="21" t="s">
        <v>23</v>
      </c>
    </row>
    <row r="23">
      <c r="A23" s="45">
        <f t="shared" si="4"/>
        <v>22</v>
      </c>
      <c r="B23" s="76" t="s">
        <v>396</v>
      </c>
      <c r="C23" s="76">
        <v>6.32503583E8</v>
      </c>
      <c r="D23" s="76" t="s">
        <v>397</v>
      </c>
      <c r="E23" s="77" t="s">
        <v>398</v>
      </c>
      <c r="F23" s="78"/>
      <c r="G23" s="77" t="s">
        <v>399</v>
      </c>
      <c r="H23" s="79" t="s">
        <v>400</v>
      </c>
      <c r="I23" s="50" t="s">
        <v>358</v>
      </c>
      <c r="J23" s="80" t="s">
        <v>359</v>
      </c>
      <c r="K23" s="81"/>
      <c r="L23" s="82">
        <v>46002.0</v>
      </c>
      <c r="S23" s="21" t="s">
        <v>23</v>
      </c>
    </row>
    <row r="24">
      <c r="A24" s="45">
        <f t="shared" si="4"/>
        <v>23</v>
      </c>
      <c r="B24" s="49" t="s">
        <v>401</v>
      </c>
      <c r="C24" s="49">
        <v>6.32503714E8</v>
      </c>
      <c r="D24" s="45"/>
      <c r="E24" s="49" t="s">
        <v>402</v>
      </c>
      <c r="F24" s="45"/>
      <c r="G24" s="49" t="s">
        <v>40</v>
      </c>
      <c r="H24" s="52" t="s">
        <v>126</v>
      </c>
      <c r="I24" s="50" t="s">
        <v>343</v>
      </c>
      <c r="J24" s="48" t="s">
        <v>368</v>
      </c>
      <c r="L24" s="49" t="s">
        <v>403</v>
      </c>
      <c r="M24" s="35">
        <f t="shared" ref="M24:M72" si="5">L24+11</f>
        <v>45994</v>
      </c>
      <c r="N24" s="35">
        <f t="shared" ref="N24:N72" si="6">L24+19</f>
        <v>46002</v>
      </c>
      <c r="O24" s="60">
        <v>45996.0</v>
      </c>
      <c r="P24" s="54">
        <v>46004.0</v>
      </c>
      <c r="S24" s="21" t="s">
        <v>23</v>
      </c>
    </row>
    <row r="25">
      <c r="A25" s="45">
        <f t="shared" si="4"/>
        <v>24</v>
      </c>
      <c r="B25" s="49" t="s">
        <v>404</v>
      </c>
      <c r="C25" s="49">
        <v>6.32503715E8</v>
      </c>
      <c r="D25" s="45"/>
      <c r="E25" s="49" t="s">
        <v>405</v>
      </c>
      <c r="F25" s="45"/>
      <c r="G25" s="49" t="s">
        <v>40</v>
      </c>
      <c r="H25" s="52" t="s">
        <v>126</v>
      </c>
      <c r="I25" s="50" t="s">
        <v>343</v>
      </c>
      <c r="J25" s="48" t="s">
        <v>368</v>
      </c>
      <c r="L25" s="49" t="s">
        <v>403</v>
      </c>
      <c r="M25" s="35">
        <f t="shared" si="5"/>
        <v>45994</v>
      </c>
      <c r="N25" s="35">
        <f t="shared" si="6"/>
        <v>46002</v>
      </c>
      <c r="O25" s="60">
        <v>45996.0</v>
      </c>
      <c r="P25" s="54">
        <v>46004.0</v>
      </c>
      <c r="S25" s="21" t="s">
        <v>23</v>
      </c>
    </row>
    <row r="26">
      <c r="A26" s="45">
        <f t="shared" si="4"/>
        <v>25</v>
      </c>
      <c r="B26" s="49" t="s">
        <v>406</v>
      </c>
      <c r="C26" s="49">
        <v>6.32503716E8</v>
      </c>
      <c r="D26" s="45"/>
      <c r="E26" s="49" t="s">
        <v>407</v>
      </c>
      <c r="F26" s="45"/>
      <c r="G26" s="49" t="s">
        <v>40</v>
      </c>
      <c r="H26" s="52" t="s">
        <v>126</v>
      </c>
      <c r="I26" s="50" t="s">
        <v>343</v>
      </c>
      <c r="J26" s="48" t="s">
        <v>368</v>
      </c>
      <c r="L26" s="49" t="s">
        <v>403</v>
      </c>
      <c r="M26" s="35">
        <f t="shared" si="5"/>
        <v>45994</v>
      </c>
      <c r="N26" s="35">
        <f t="shared" si="6"/>
        <v>46002</v>
      </c>
      <c r="O26" s="54">
        <v>46001.0</v>
      </c>
      <c r="P26" s="54">
        <v>46004.0</v>
      </c>
      <c r="S26" s="21" t="s">
        <v>23</v>
      </c>
    </row>
    <row r="27">
      <c r="A27" s="45">
        <f t="shared" si="4"/>
        <v>26</v>
      </c>
      <c r="B27" s="48" t="s">
        <v>408</v>
      </c>
      <c r="C27" s="48">
        <v>6.32503717E8</v>
      </c>
      <c r="D27" s="45"/>
      <c r="E27" s="49" t="s">
        <v>409</v>
      </c>
      <c r="F27" s="45"/>
      <c r="G27" s="49" t="s">
        <v>40</v>
      </c>
      <c r="H27" s="52" t="s">
        <v>126</v>
      </c>
      <c r="I27" s="50" t="s">
        <v>343</v>
      </c>
      <c r="J27" s="48" t="s">
        <v>368</v>
      </c>
      <c r="L27" s="49" t="s">
        <v>403</v>
      </c>
      <c r="M27" s="35">
        <f t="shared" si="5"/>
        <v>45994</v>
      </c>
      <c r="N27" s="35">
        <f t="shared" si="6"/>
        <v>46002</v>
      </c>
      <c r="O27" s="60">
        <v>45996.0</v>
      </c>
      <c r="P27" s="54">
        <v>46004.0</v>
      </c>
      <c r="S27" s="21" t="s">
        <v>23</v>
      </c>
    </row>
    <row r="28">
      <c r="A28" s="45">
        <f t="shared" si="4"/>
        <v>27</v>
      </c>
      <c r="B28" s="48" t="s">
        <v>410</v>
      </c>
      <c r="C28" s="48">
        <v>6.32503718E8</v>
      </c>
      <c r="D28" s="45"/>
      <c r="E28" s="49" t="s">
        <v>411</v>
      </c>
      <c r="F28" s="45"/>
      <c r="G28" s="49" t="s">
        <v>40</v>
      </c>
      <c r="H28" s="52" t="s">
        <v>126</v>
      </c>
      <c r="I28" s="50" t="s">
        <v>343</v>
      </c>
      <c r="J28" s="48" t="s">
        <v>368</v>
      </c>
      <c r="L28" s="49" t="s">
        <v>403</v>
      </c>
      <c r="M28" s="35">
        <f t="shared" si="5"/>
        <v>45994</v>
      </c>
      <c r="N28" s="35">
        <f t="shared" si="6"/>
        <v>46002</v>
      </c>
      <c r="O28" s="60">
        <v>45996.0</v>
      </c>
      <c r="P28" s="54">
        <v>46004.0</v>
      </c>
      <c r="S28" s="21" t="s">
        <v>23</v>
      </c>
    </row>
    <row r="29">
      <c r="A29" s="45">
        <f t="shared" si="4"/>
        <v>28</v>
      </c>
      <c r="B29" s="48" t="s">
        <v>412</v>
      </c>
      <c r="C29" s="48">
        <v>6.32503722E8</v>
      </c>
      <c r="D29" s="45"/>
      <c r="E29" s="49" t="s">
        <v>413</v>
      </c>
      <c r="F29" s="45"/>
      <c r="G29" s="49" t="s">
        <v>40</v>
      </c>
      <c r="H29" s="55" t="s">
        <v>367</v>
      </c>
      <c r="I29" s="50" t="s">
        <v>343</v>
      </c>
      <c r="J29" s="48" t="s">
        <v>368</v>
      </c>
      <c r="L29" s="49" t="s">
        <v>403</v>
      </c>
      <c r="M29" s="35">
        <f t="shared" si="5"/>
        <v>45994</v>
      </c>
      <c r="N29" s="35">
        <f t="shared" si="6"/>
        <v>46002</v>
      </c>
      <c r="O29" s="60">
        <v>45996.0</v>
      </c>
      <c r="P29" s="54">
        <v>46004.0</v>
      </c>
      <c r="S29" s="21" t="s">
        <v>23</v>
      </c>
    </row>
    <row r="30">
      <c r="A30" s="45">
        <f t="shared" si="4"/>
        <v>29</v>
      </c>
      <c r="B30" s="48" t="s">
        <v>414</v>
      </c>
      <c r="C30" s="48">
        <v>6.32503723E8</v>
      </c>
      <c r="D30" s="45"/>
      <c r="E30" s="49" t="s">
        <v>415</v>
      </c>
      <c r="F30" s="45"/>
      <c r="G30" s="49" t="s">
        <v>40</v>
      </c>
      <c r="H30" s="55" t="s">
        <v>367</v>
      </c>
      <c r="I30" s="50" t="s">
        <v>343</v>
      </c>
      <c r="J30" s="48" t="s">
        <v>368</v>
      </c>
      <c r="L30" s="49" t="s">
        <v>403</v>
      </c>
      <c r="M30" s="35">
        <f t="shared" si="5"/>
        <v>45994</v>
      </c>
      <c r="N30" s="35">
        <f t="shared" si="6"/>
        <v>46002</v>
      </c>
      <c r="O30" s="60">
        <v>45996.0</v>
      </c>
      <c r="P30" s="54">
        <v>46004.0</v>
      </c>
      <c r="S30" s="21" t="s">
        <v>23</v>
      </c>
    </row>
    <row r="31">
      <c r="A31" s="45">
        <f t="shared" si="4"/>
        <v>30</v>
      </c>
      <c r="B31" s="48" t="s">
        <v>416</v>
      </c>
      <c r="C31" s="48">
        <v>6.32503724E8</v>
      </c>
      <c r="D31" s="45"/>
      <c r="E31" s="49" t="s">
        <v>417</v>
      </c>
      <c r="F31" s="45"/>
      <c r="G31" s="49" t="s">
        <v>40</v>
      </c>
      <c r="H31" s="55" t="s">
        <v>367</v>
      </c>
      <c r="I31" s="50" t="s">
        <v>343</v>
      </c>
      <c r="J31" s="48" t="s">
        <v>368</v>
      </c>
      <c r="L31" s="49" t="s">
        <v>403</v>
      </c>
      <c r="M31" s="35">
        <f t="shared" si="5"/>
        <v>45994</v>
      </c>
      <c r="N31" s="35">
        <f t="shared" si="6"/>
        <v>46002</v>
      </c>
      <c r="O31" s="60">
        <v>45996.0</v>
      </c>
      <c r="P31" s="54">
        <v>46004.0</v>
      </c>
      <c r="S31" s="21" t="s">
        <v>23</v>
      </c>
    </row>
    <row r="32">
      <c r="A32" s="45">
        <f t="shared" si="4"/>
        <v>31</v>
      </c>
      <c r="B32" s="48" t="s">
        <v>418</v>
      </c>
      <c r="C32" s="48">
        <v>6.32503809E8</v>
      </c>
      <c r="D32" s="47"/>
      <c r="E32" s="49" t="s">
        <v>419</v>
      </c>
      <c r="F32" s="45"/>
      <c r="G32" s="49" t="s">
        <v>18</v>
      </c>
      <c r="H32" s="55" t="s">
        <v>367</v>
      </c>
      <c r="I32" s="50" t="s">
        <v>343</v>
      </c>
      <c r="J32" s="47"/>
      <c r="L32" s="54">
        <v>45988.0</v>
      </c>
      <c r="M32" s="35">
        <f t="shared" si="5"/>
        <v>45999</v>
      </c>
      <c r="N32" s="35">
        <f t="shared" si="6"/>
        <v>46007</v>
      </c>
      <c r="O32" s="54">
        <v>46001.0</v>
      </c>
      <c r="P32" s="54">
        <v>46010.0</v>
      </c>
      <c r="S32" s="21" t="s">
        <v>23</v>
      </c>
    </row>
    <row r="33">
      <c r="A33" s="45">
        <f t="shared" si="4"/>
        <v>32</v>
      </c>
      <c r="B33" s="48" t="s">
        <v>420</v>
      </c>
      <c r="C33" s="48">
        <v>6.32503808E8</v>
      </c>
      <c r="D33" s="47"/>
      <c r="E33" s="49" t="s">
        <v>421</v>
      </c>
      <c r="F33" s="45"/>
      <c r="G33" s="49" t="s">
        <v>18</v>
      </c>
      <c r="H33" s="55" t="s">
        <v>367</v>
      </c>
      <c r="I33" s="50" t="s">
        <v>343</v>
      </c>
      <c r="J33" s="47"/>
      <c r="L33" s="54">
        <v>45988.0</v>
      </c>
      <c r="M33" s="35">
        <f t="shared" si="5"/>
        <v>45999</v>
      </c>
      <c r="N33" s="35">
        <f t="shared" si="6"/>
        <v>46007</v>
      </c>
      <c r="O33" s="54">
        <v>46001.0</v>
      </c>
      <c r="P33" s="54">
        <v>46010.0</v>
      </c>
      <c r="S33" s="21" t="s">
        <v>23</v>
      </c>
    </row>
    <row r="34">
      <c r="A34" s="45">
        <f t="shared" si="4"/>
        <v>33</v>
      </c>
      <c r="B34" s="49" t="s">
        <v>422</v>
      </c>
      <c r="C34" s="49">
        <v>6.3250381E8</v>
      </c>
      <c r="D34" s="47"/>
      <c r="E34" s="58" t="s">
        <v>423</v>
      </c>
      <c r="F34" s="45"/>
      <c r="G34" s="58" t="s">
        <v>18</v>
      </c>
      <c r="H34" s="55" t="s">
        <v>367</v>
      </c>
      <c r="I34" s="50" t="s">
        <v>343</v>
      </c>
      <c r="J34" s="47"/>
      <c r="L34" s="54">
        <v>45988.0</v>
      </c>
      <c r="M34" s="35">
        <f t="shared" si="5"/>
        <v>45999</v>
      </c>
      <c r="N34" s="35">
        <f t="shared" si="6"/>
        <v>46007</v>
      </c>
      <c r="O34" s="54">
        <v>46001.0</v>
      </c>
      <c r="P34" s="54">
        <v>46010.0</v>
      </c>
      <c r="S34" s="21" t="s">
        <v>23</v>
      </c>
    </row>
    <row r="35">
      <c r="A35" s="45">
        <f t="shared" si="4"/>
        <v>34</v>
      </c>
      <c r="B35" s="49" t="s">
        <v>424</v>
      </c>
      <c r="C35" s="49">
        <v>6.32503801E8</v>
      </c>
      <c r="D35" s="47"/>
      <c r="E35" s="49" t="s">
        <v>425</v>
      </c>
      <c r="F35" s="45"/>
      <c r="G35" s="49" t="s">
        <v>18</v>
      </c>
      <c r="H35" s="52" t="s">
        <v>126</v>
      </c>
      <c r="I35" s="50" t="s">
        <v>343</v>
      </c>
      <c r="J35" s="48" t="s">
        <v>426</v>
      </c>
      <c r="L35" s="54">
        <v>45988.0</v>
      </c>
      <c r="M35" s="35">
        <f t="shared" si="5"/>
        <v>45999</v>
      </c>
      <c r="N35" s="35">
        <f t="shared" si="6"/>
        <v>46007</v>
      </c>
      <c r="O35" s="54">
        <v>46001.0</v>
      </c>
      <c r="P35" s="54">
        <v>46010.0</v>
      </c>
      <c r="S35" s="21" t="s">
        <v>23</v>
      </c>
    </row>
    <row r="36">
      <c r="A36" s="45">
        <f t="shared" si="4"/>
        <v>35</v>
      </c>
      <c r="B36" s="49" t="s">
        <v>427</v>
      </c>
      <c r="C36" s="49">
        <v>6.32503802E8</v>
      </c>
      <c r="D36" s="47"/>
      <c r="E36" s="58" t="s">
        <v>428</v>
      </c>
      <c r="F36" s="45"/>
      <c r="G36" s="58" t="s">
        <v>18</v>
      </c>
      <c r="H36" s="52" t="s">
        <v>126</v>
      </c>
      <c r="I36" s="50" t="s">
        <v>343</v>
      </c>
      <c r="J36" s="48" t="s">
        <v>426</v>
      </c>
      <c r="L36" s="54">
        <v>45988.0</v>
      </c>
      <c r="M36" s="35">
        <f t="shared" si="5"/>
        <v>45999</v>
      </c>
      <c r="N36" s="35">
        <f t="shared" si="6"/>
        <v>46007</v>
      </c>
      <c r="O36" s="54">
        <v>46001.0</v>
      </c>
      <c r="P36" s="54">
        <v>46010.0</v>
      </c>
      <c r="S36" s="21" t="s">
        <v>23</v>
      </c>
    </row>
    <row r="37">
      <c r="A37" s="45">
        <f t="shared" si="4"/>
        <v>36</v>
      </c>
      <c r="B37" s="49" t="s">
        <v>429</v>
      </c>
      <c r="C37" s="49">
        <v>6.32503803E8</v>
      </c>
      <c r="D37" s="47"/>
      <c r="E37" s="58" t="s">
        <v>430</v>
      </c>
      <c r="F37" s="45"/>
      <c r="G37" s="58" t="s">
        <v>18</v>
      </c>
      <c r="H37" s="52" t="s">
        <v>126</v>
      </c>
      <c r="I37" s="50" t="s">
        <v>343</v>
      </c>
      <c r="J37" s="48" t="s">
        <v>426</v>
      </c>
      <c r="L37" s="54">
        <v>45988.0</v>
      </c>
      <c r="M37" s="35">
        <f t="shared" si="5"/>
        <v>45999</v>
      </c>
      <c r="N37" s="35">
        <f t="shared" si="6"/>
        <v>46007</v>
      </c>
      <c r="O37" s="54">
        <v>46001.0</v>
      </c>
      <c r="P37" s="54">
        <v>46010.0</v>
      </c>
      <c r="S37" s="21" t="s">
        <v>23</v>
      </c>
    </row>
    <row r="38">
      <c r="A38" s="45">
        <f t="shared" si="4"/>
        <v>37</v>
      </c>
      <c r="B38" s="49" t="s">
        <v>431</v>
      </c>
      <c r="C38" s="49">
        <v>6.32503804E8</v>
      </c>
      <c r="D38" s="47"/>
      <c r="E38" s="58" t="s">
        <v>432</v>
      </c>
      <c r="F38" s="45"/>
      <c r="G38" s="58" t="s">
        <v>18</v>
      </c>
      <c r="H38" s="52" t="s">
        <v>126</v>
      </c>
      <c r="I38" s="50" t="s">
        <v>343</v>
      </c>
      <c r="J38" s="48" t="s">
        <v>426</v>
      </c>
      <c r="L38" s="54">
        <v>45988.0</v>
      </c>
      <c r="M38" s="35">
        <f t="shared" si="5"/>
        <v>45999</v>
      </c>
      <c r="N38" s="35">
        <f t="shared" si="6"/>
        <v>46007</v>
      </c>
      <c r="O38" s="54">
        <v>46001.0</v>
      </c>
      <c r="P38" s="54">
        <v>46010.0</v>
      </c>
      <c r="S38" s="21" t="s">
        <v>23</v>
      </c>
    </row>
    <row r="39">
      <c r="A39" s="45">
        <f t="shared" si="4"/>
        <v>38</v>
      </c>
      <c r="B39" s="49" t="s">
        <v>433</v>
      </c>
      <c r="C39" s="49">
        <v>6.32503806E8</v>
      </c>
      <c r="D39" s="47"/>
      <c r="E39" s="58" t="s">
        <v>434</v>
      </c>
      <c r="F39" s="45"/>
      <c r="G39" s="58" t="s">
        <v>18</v>
      </c>
      <c r="H39" s="52" t="s">
        <v>126</v>
      </c>
      <c r="I39" s="50" t="s">
        <v>343</v>
      </c>
      <c r="J39" s="48" t="s">
        <v>426</v>
      </c>
      <c r="L39" s="54">
        <v>45988.0</v>
      </c>
      <c r="M39" s="35">
        <f t="shared" si="5"/>
        <v>45999</v>
      </c>
      <c r="N39" s="35">
        <f t="shared" si="6"/>
        <v>46007</v>
      </c>
      <c r="O39" s="54">
        <v>46001.0</v>
      </c>
      <c r="P39" s="54">
        <v>46010.0</v>
      </c>
      <c r="S39" s="21" t="s">
        <v>23</v>
      </c>
    </row>
    <row r="40">
      <c r="A40" s="45">
        <f t="shared" si="4"/>
        <v>39</v>
      </c>
      <c r="B40" s="48" t="s">
        <v>435</v>
      </c>
      <c r="C40" s="47"/>
      <c r="D40" s="47"/>
      <c r="E40" s="49" t="s">
        <v>436</v>
      </c>
      <c r="F40" s="45"/>
      <c r="G40" s="58" t="s">
        <v>18</v>
      </c>
      <c r="H40" s="52" t="s">
        <v>126</v>
      </c>
      <c r="I40" s="50" t="s">
        <v>343</v>
      </c>
      <c r="J40" s="48" t="s">
        <v>426</v>
      </c>
      <c r="L40" s="54">
        <v>45988.0</v>
      </c>
      <c r="M40" s="35">
        <f t="shared" si="5"/>
        <v>45999</v>
      </c>
      <c r="N40" s="35">
        <f t="shared" si="6"/>
        <v>46007</v>
      </c>
      <c r="O40" s="54">
        <v>46001.0</v>
      </c>
      <c r="P40" s="54">
        <v>46010.0</v>
      </c>
      <c r="S40" s="21" t="s">
        <v>23</v>
      </c>
    </row>
    <row r="41">
      <c r="A41" s="45">
        <f t="shared" si="4"/>
        <v>40</v>
      </c>
      <c r="B41" s="49" t="s">
        <v>437</v>
      </c>
      <c r="C41" s="49">
        <v>6.32503807E8</v>
      </c>
      <c r="D41" s="47"/>
      <c r="E41" s="58" t="s">
        <v>438</v>
      </c>
      <c r="F41" s="45"/>
      <c r="G41" s="58" t="s">
        <v>18</v>
      </c>
      <c r="H41" s="52" t="s">
        <v>126</v>
      </c>
      <c r="I41" s="50" t="s">
        <v>343</v>
      </c>
      <c r="J41" s="48" t="s">
        <v>426</v>
      </c>
      <c r="L41" s="54">
        <v>45988.0</v>
      </c>
      <c r="M41" s="35">
        <f t="shared" si="5"/>
        <v>45999</v>
      </c>
      <c r="N41" s="35">
        <f t="shared" si="6"/>
        <v>46007</v>
      </c>
      <c r="O41" s="54">
        <v>46001.0</v>
      </c>
      <c r="P41" s="54">
        <v>46010.0</v>
      </c>
      <c r="S41" s="21" t="s">
        <v>23</v>
      </c>
    </row>
    <row r="42">
      <c r="A42" s="45">
        <f t="shared" si="4"/>
        <v>41</v>
      </c>
      <c r="B42" s="48" t="s">
        <v>439</v>
      </c>
      <c r="C42" s="48">
        <v>6.32503853E8</v>
      </c>
      <c r="D42" s="48" t="s">
        <v>440</v>
      </c>
      <c r="E42" s="58" t="s">
        <v>441</v>
      </c>
      <c r="F42" s="45"/>
      <c r="G42" s="58" t="s">
        <v>442</v>
      </c>
      <c r="H42" s="55" t="s">
        <v>335</v>
      </c>
      <c r="I42" s="50" t="s">
        <v>358</v>
      </c>
      <c r="J42" s="83" t="s">
        <v>443</v>
      </c>
      <c r="K42" s="21" t="s">
        <v>444</v>
      </c>
      <c r="L42" s="48" t="s">
        <v>445</v>
      </c>
      <c r="M42" s="35">
        <f t="shared" si="5"/>
        <v>46000</v>
      </c>
      <c r="N42" s="35">
        <f t="shared" si="6"/>
        <v>46008</v>
      </c>
      <c r="O42" s="54">
        <v>46002.0</v>
      </c>
      <c r="P42" s="54">
        <v>46009.0</v>
      </c>
      <c r="S42" s="21" t="s">
        <v>23</v>
      </c>
    </row>
    <row r="43">
      <c r="A43" s="45">
        <f t="shared" si="4"/>
        <v>42</v>
      </c>
      <c r="B43" s="48" t="s">
        <v>446</v>
      </c>
      <c r="C43" s="48">
        <v>6.32503852E8</v>
      </c>
      <c r="D43" s="48" t="s">
        <v>440</v>
      </c>
      <c r="E43" s="58" t="s">
        <v>447</v>
      </c>
      <c r="F43" s="45"/>
      <c r="G43" s="58" t="s">
        <v>442</v>
      </c>
      <c r="H43" s="55" t="s">
        <v>335</v>
      </c>
      <c r="I43" s="84" t="s">
        <v>358</v>
      </c>
      <c r="J43" s="83" t="s">
        <v>443</v>
      </c>
      <c r="K43" s="21" t="s">
        <v>448</v>
      </c>
      <c r="L43" s="48" t="s">
        <v>445</v>
      </c>
      <c r="M43" s="35">
        <f t="shared" si="5"/>
        <v>46000</v>
      </c>
      <c r="N43" s="35">
        <f t="shared" si="6"/>
        <v>46008</v>
      </c>
      <c r="O43" s="54">
        <v>46002.0</v>
      </c>
      <c r="P43" s="54">
        <v>46009.0</v>
      </c>
      <c r="S43" s="21" t="s">
        <v>23</v>
      </c>
    </row>
    <row r="44">
      <c r="A44" s="45">
        <f t="shared" si="4"/>
        <v>43</v>
      </c>
      <c r="B44" s="48" t="s">
        <v>449</v>
      </c>
      <c r="C44" s="48">
        <v>6.32503859E8</v>
      </c>
      <c r="D44" s="48" t="s">
        <v>440</v>
      </c>
      <c r="E44" s="58" t="s">
        <v>450</v>
      </c>
      <c r="F44" s="45"/>
      <c r="G44" s="58" t="s">
        <v>18</v>
      </c>
      <c r="H44" s="55" t="s">
        <v>335</v>
      </c>
      <c r="I44" s="84" t="s">
        <v>358</v>
      </c>
      <c r="J44" s="83" t="s">
        <v>443</v>
      </c>
      <c r="K44" s="21" t="s">
        <v>451</v>
      </c>
      <c r="L44" s="48" t="s">
        <v>445</v>
      </c>
      <c r="M44" s="35">
        <f t="shared" si="5"/>
        <v>46000</v>
      </c>
      <c r="N44" s="35">
        <f t="shared" si="6"/>
        <v>46008</v>
      </c>
      <c r="O44" s="54">
        <v>46002.0</v>
      </c>
      <c r="P44" s="54">
        <v>46009.0</v>
      </c>
      <c r="S44" s="21" t="s">
        <v>23</v>
      </c>
    </row>
    <row r="45">
      <c r="A45" s="45">
        <f t="shared" si="4"/>
        <v>44</v>
      </c>
      <c r="B45" s="48" t="s">
        <v>452</v>
      </c>
      <c r="C45" s="48">
        <v>6.32503824E8</v>
      </c>
      <c r="D45" s="47"/>
      <c r="E45" s="58" t="s">
        <v>453</v>
      </c>
      <c r="F45" s="45"/>
      <c r="G45" s="58" t="s">
        <v>18</v>
      </c>
      <c r="H45" s="55" t="s">
        <v>454</v>
      </c>
      <c r="I45" s="84" t="s">
        <v>455</v>
      </c>
      <c r="J45" s="48" t="s">
        <v>30</v>
      </c>
      <c r="K45" s="21" t="s">
        <v>456</v>
      </c>
      <c r="L45" s="48" t="s">
        <v>445</v>
      </c>
      <c r="M45" s="35">
        <f t="shared" si="5"/>
        <v>46000</v>
      </c>
      <c r="N45" s="35">
        <f t="shared" si="6"/>
        <v>46008</v>
      </c>
      <c r="O45" s="54">
        <v>46001.0</v>
      </c>
      <c r="P45" s="54">
        <v>46010.0</v>
      </c>
      <c r="S45" s="21" t="s">
        <v>23</v>
      </c>
    </row>
    <row r="46">
      <c r="A46" s="45">
        <f t="shared" si="4"/>
        <v>45</v>
      </c>
      <c r="B46" s="48" t="s">
        <v>457</v>
      </c>
      <c r="C46" s="48">
        <v>6.32503825E8</v>
      </c>
      <c r="D46" s="47"/>
      <c r="E46" s="58" t="s">
        <v>458</v>
      </c>
      <c r="F46" s="45"/>
      <c r="G46" s="58" t="s">
        <v>18</v>
      </c>
      <c r="H46" s="55" t="s">
        <v>454</v>
      </c>
      <c r="I46" s="84" t="s">
        <v>455</v>
      </c>
      <c r="J46" s="48" t="s">
        <v>30</v>
      </c>
      <c r="K46" s="21" t="s">
        <v>459</v>
      </c>
      <c r="L46" s="48" t="s">
        <v>445</v>
      </c>
      <c r="M46" s="35">
        <f t="shared" si="5"/>
        <v>46000</v>
      </c>
      <c r="N46" s="35">
        <f t="shared" si="6"/>
        <v>46008</v>
      </c>
      <c r="O46" s="54">
        <v>46001.0</v>
      </c>
      <c r="P46" s="54">
        <v>46010.0</v>
      </c>
      <c r="S46" s="21" t="s">
        <v>23</v>
      </c>
    </row>
    <row r="47">
      <c r="A47" s="45">
        <f t="shared" si="4"/>
        <v>46</v>
      </c>
      <c r="B47" s="48" t="s">
        <v>460</v>
      </c>
      <c r="C47" s="48">
        <v>6.32503826E8</v>
      </c>
      <c r="D47" s="47"/>
      <c r="E47" s="58" t="s">
        <v>461</v>
      </c>
      <c r="F47" s="45"/>
      <c r="G47" s="58" t="s">
        <v>18</v>
      </c>
      <c r="H47" s="55" t="s">
        <v>454</v>
      </c>
      <c r="I47" s="84" t="s">
        <v>455</v>
      </c>
      <c r="J47" s="48" t="s">
        <v>30</v>
      </c>
      <c r="K47" s="21" t="s">
        <v>462</v>
      </c>
      <c r="L47" s="48" t="s">
        <v>445</v>
      </c>
      <c r="M47" s="35">
        <f t="shared" si="5"/>
        <v>46000</v>
      </c>
      <c r="N47" s="35">
        <f t="shared" si="6"/>
        <v>46008</v>
      </c>
      <c r="O47" s="54">
        <v>46001.0</v>
      </c>
      <c r="P47" s="54">
        <v>46010.0</v>
      </c>
      <c r="S47" s="21" t="s">
        <v>23</v>
      </c>
    </row>
    <row r="48">
      <c r="A48" s="45">
        <f t="shared" si="4"/>
        <v>47</v>
      </c>
      <c r="B48" s="48" t="s">
        <v>463</v>
      </c>
      <c r="C48" s="48">
        <v>6.32503827E8</v>
      </c>
      <c r="D48" s="47"/>
      <c r="E48" s="58" t="s">
        <v>464</v>
      </c>
      <c r="F48" s="45"/>
      <c r="G48" s="58" t="s">
        <v>18</v>
      </c>
      <c r="H48" s="55" t="s">
        <v>454</v>
      </c>
      <c r="I48" s="84" t="s">
        <v>455</v>
      </c>
      <c r="J48" s="48" t="s">
        <v>30</v>
      </c>
      <c r="K48" s="21" t="s">
        <v>465</v>
      </c>
      <c r="L48" s="48" t="s">
        <v>445</v>
      </c>
      <c r="M48" s="35">
        <f t="shared" si="5"/>
        <v>46000</v>
      </c>
      <c r="N48" s="35">
        <f t="shared" si="6"/>
        <v>46008</v>
      </c>
      <c r="O48" s="54">
        <v>46001.0</v>
      </c>
      <c r="P48" s="54">
        <v>46010.0</v>
      </c>
      <c r="S48" s="21" t="s">
        <v>23</v>
      </c>
    </row>
    <row r="49">
      <c r="A49" s="45">
        <f t="shared" si="4"/>
        <v>48</v>
      </c>
      <c r="B49" s="48" t="s">
        <v>466</v>
      </c>
      <c r="C49" s="48">
        <v>6.32503828E8</v>
      </c>
      <c r="D49" s="47"/>
      <c r="E49" s="58" t="s">
        <v>467</v>
      </c>
      <c r="F49" s="45"/>
      <c r="G49" s="58" t="s">
        <v>18</v>
      </c>
      <c r="H49" s="55" t="s">
        <v>454</v>
      </c>
      <c r="I49" s="84" t="s">
        <v>455</v>
      </c>
      <c r="J49" s="48" t="s">
        <v>30</v>
      </c>
      <c r="K49" s="21" t="s">
        <v>468</v>
      </c>
      <c r="L49" s="48" t="s">
        <v>445</v>
      </c>
      <c r="M49" s="35">
        <f t="shared" si="5"/>
        <v>46000</v>
      </c>
      <c r="N49" s="35">
        <f t="shared" si="6"/>
        <v>46008</v>
      </c>
      <c r="O49" s="54">
        <v>46001.0</v>
      </c>
      <c r="P49" s="54">
        <v>46011.0</v>
      </c>
      <c r="S49" s="21" t="s">
        <v>23</v>
      </c>
    </row>
    <row r="50">
      <c r="A50" s="45">
        <f t="shared" si="4"/>
        <v>49</v>
      </c>
      <c r="B50" s="48" t="s">
        <v>469</v>
      </c>
      <c r="C50" s="48">
        <v>6.32503829E8</v>
      </c>
      <c r="D50" s="47"/>
      <c r="E50" s="58" t="s">
        <v>470</v>
      </c>
      <c r="F50" s="45"/>
      <c r="G50" s="58" t="s">
        <v>18</v>
      </c>
      <c r="H50" s="55" t="s">
        <v>454</v>
      </c>
      <c r="I50" s="84" t="s">
        <v>455</v>
      </c>
      <c r="J50" s="48" t="s">
        <v>30</v>
      </c>
      <c r="K50" s="21" t="s">
        <v>471</v>
      </c>
      <c r="L50" s="48" t="s">
        <v>445</v>
      </c>
      <c r="M50" s="35">
        <f t="shared" si="5"/>
        <v>46000</v>
      </c>
      <c r="N50" s="35">
        <f t="shared" si="6"/>
        <v>46008</v>
      </c>
      <c r="O50" s="54">
        <v>46001.0</v>
      </c>
      <c r="P50" s="54">
        <v>46010.0</v>
      </c>
      <c r="S50" s="21" t="s">
        <v>23</v>
      </c>
    </row>
    <row r="51">
      <c r="A51" s="45">
        <f t="shared" si="4"/>
        <v>50</v>
      </c>
      <c r="B51" s="48" t="s">
        <v>472</v>
      </c>
      <c r="C51" s="48">
        <v>6.3250383E8</v>
      </c>
      <c r="D51" s="47"/>
      <c r="E51" s="58" t="s">
        <v>473</v>
      </c>
      <c r="F51" s="45"/>
      <c r="G51" s="58" t="s">
        <v>18</v>
      </c>
      <c r="H51" s="55" t="s">
        <v>454</v>
      </c>
      <c r="I51" s="84" t="s">
        <v>455</v>
      </c>
      <c r="J51" s="48" t="s">
        <v>30</v>
      </c>
      <c r="K51" s="21" t="s">
        <v>474</v>
      </c>
      <c r="L51" s="48" t="s">
        <v>445</v>
      </c>
      <c r="M51" s="35">
        <f t="shared" si="5"/>
        <v>46000</v>
      </c>
      <c r="N51" s="35">
        <f t="shared" si="6"/>
        <v>46008</v>
      </c>
      <c r="O51" s="54">
        <v>46001.0</v>
      </c>
      <c r="P51" s="54">
        <v>46010.0</v>
      </c>
      <c r="S51" s="21" t="s">
        <v>23</v>
      </c>
    </row>
    <row r="52">
      <c r="A52" s="45">
        <f t="shared" si="4"/>
        <v>51</v>
      </c>
      <c r="B52" s="48" t="s">
        <v>475</v>
      </c>
      <c r="C52" s="48">
        <v>6.32503831E8</v>
      </c>
      <c r="D52" s="47"/>
      <c r="E52" s="58" t="s">
        <v>476</v>
      </c>
      <c r="F52" s="45"/>
      <c r="G52" s="58" t="s">
        <v>18</v>
      </c>
      <c r="H52" s="55" t="s">
        <v>454</v>
      </c>
      <c r="I52" s="84" t="s">
        <v>455</v>
      </c>
      <c r="J52" s="48" t="s">
        <v>30</v>
      </c>
      <c r="K52" s="21" t="s">
        <v>477</v>
      </c>
      <c r="L52" s="48" t="s">
        <v>445</v>
      </c>
      <c r="M52" s="35">
        <f t="shared" si="5"/>
        <v>46000</v>
      </c>
      <c r="N52" s="35">
        <f t="shared" si="6"/>
        <v>46008</v>
      </c>
      <c r="O52" s="54">
        <v>46001.0</v>
      </c>
      <c r="P52" s="54">
        <v>46011.0</v>
      </c>
      <c r="S52" s="21" t="s">
        <v>23</v>
      </c>
    </row>
    <row r="53">
      <c r="A53" s="45">
        <f t="shared" si="4"/>
        <v>52</v>
      </c>
      <c r="B53" s="48" t="s">
        <v>478</v>
      </c>
      <c r="C53" s="48">
        <v>6.32503832E8</v>
      </c>
      <c r="D53" s="47"/>
      <c r="E53" s="58" t="s">
        <v>479</v>
      </c>
      <c r="F53" s="45"/>
      <c r="G53" s="58" t="s">
        <v>18</v>
      </c>
      <c r="H53" s="55" t="s">
        <v>454</v>
      </c>
      <c r="I53" s="84" t="s">
        <v>455</v>
      </c>
      <c r="J53" s="48" t="s">
        <v>30</v>
      </c>
      <c r="K53" s="21" t="s">
        <v>480</v>
      </c>
      <c r="L53" s="48" t="s">
        <v>445</v>
      </c>
      <c r="M53" s="35">
        <f t="shared" si="5"/>
        <v>46000</v>
      </c>
      <c r="N53" s="35">
        <f t="shared" si="6"/>
        <v>46008</v>
      </c>
      <c r="O53" s="54">
        <v>46001.0</v>
      </c>
      <c r="P53" s="54">
        <v>46010.0</v>
      </c>
      <c r="S53" s="21" t="s">
        <v>23</v>
      </c>
    </row>
    <row r="54">
      <c r="A54" s="45">
        <f t="shared" si="4"/>
        <v>53</v>
      </c>
      <c r="B54" s="48" t="s">
        <v>481</v>
      </c>
      <c r="C54" s="48">
        <v>6.32503833E8</v>
      </c>
      <c r="D54" s="47"/>
      <c r="E54" s="58" t="s">
        <v>482</v>
      </c>
      <c r="F54" s="45"/>
      <c r="G54" s="58" t="s">
        <v>18</v>
      </c>
      <c r="H54" s="55" t="s">
        <v>454</v>
      </c>
      <c r="I54" s="84" t="s">
        <v>455</v>
      </c>
      <c r="J54" s="48" t="s">
        <v>30</v>
      </c>
      <c r="K54" s="21" t="s">
        <v>483</v>
      </c>
      <c r="L54" s="48" t="s">
        <v>445</v>
      </c>
      <c r="M54" s="35">
        <f t="shared" si="5"/>
        <v>46000</v>
      </c>
      <c r="N54" s="35">
        <f t="shared" si="6"/>
        <v>46008</v>
      </c>
      <c r="O54" s="54">
        <v>46001.0</v>
      </c>
      <c r="P54" s="54">
        <v>46011.0</v>
      </c>
      <c r="S54" s="21" t="s">
        <v>23</v>
      </c>
    </row>
    <row r="55">
      <c r="A55" s="45">
        <f t="shared" si="4"/>
        <v>54</v>
      </c>
      <c r="B55" s="48" t="s">
        <v>484</v>
      </c>
      <c r="C55" s="48">
        <v>6.32503834E8</v>
      </c>
      <c r="D55" s="47"/>
      <c r="E55" s="58" t="s">
        <v>485</v>
      </c>
      <c r="F55" s="45"/>
      <c r="G55" s="58" t="s">
        <v>18</v>
      </c>
      <c r="H55" s="55" t="s">
        <v>454</v>
      </c>
      <c r="I55" s="84" t="s">
        <v>455</v>
      </c>
      <c r="J55" s="48" t="s">
        <v>30</v>
      </c>
      <c r="K55" s="21" t="s">
        <v>486</v>
      </c>
      <c r="L55" s="48" t="s">
        <v>445</v>
      </c>
      <c r="M55" s="35">
        <f t="shared" si="5"/>
        <v>46000</v>
      </c>
      <c r="N55" s="35">
        <f t="shared" si="6"/>
        <v>46008</v>
      </c>
      <c r="O55" s="54">
        <v>46001.0</v>
      </c>
      <c r="P55" s="54">
        <v>46010.0</v>
      </c>
      <c r="S55" s="21" t="s">
        <v>23</v>
      </c>
    </row>
    <row r="56">
      <c r="A56" s="45">
        <f t="shared" si="4"/>
        <v>55</v>
      </c>
      <c r="B56" s="48" t="s">
        <v>487</v>
      </c>
      <c r="C56" s="48">
        <v>6.32503835E8</v>
      </c>
      <c r="D56" s="47"/>
      <c r="E56" s="58" t="s">
        <v>488</v>
      </c>
      <c r="F56" s="45"/>
      <c r="G56" s="58" t="s">
        <v>18</v>
      </c>
      <c r="H56" s="55" t="s">
        <v>454</v>
      </c>
      <c r="I56" s="50" t="s">
        <v>455</v>
      </c>
      <c r="J56" s="48" t="s">
        <v>30</v>
      </c>
      <c r="K56" s="21" t="s">
        <v>489</v>
      </c>
      <c r="L56" s="48" t="s">
        <v>445</v>
      </c>
      <c r="M56" s="35">
        <f t="shared" si="5"/>
        <v>46000</v>
      </c>
      <c r="N56" s="35">
        <f t="shared" si="6"/>
        <v>46008</v>
      </c>
      <c r="O56" s="54">
        <v>46001.0</v>
      </c>
      <c r="P56" s="54">
        <v>46011.0</v>
      </c>
      <c r="S56" s="21" t="s">
        <v>23</v>
      </c>
    </row>
    <row r="57">
      <c r="A57" s="45">
        <f t="shared" si="4"/>
        <v>56</v>
      </c>
      <c r="B57" s="48" t="s">
        <v>490</v>
      </c>
      <c r="C57" s="48">
        <v>6.32503836E8</v>
      </c>
      <c r="D57" s="47"/>
      <c r="E57" s="58" t="s">
        <v>491</v>
      </c>
      <c r="F57" s="45"/>
      <c r="G57" s="58" t="s">
        <v>18</v>
      </c>
      <c r="H57" s="55" t="s">
        <v>454</v>
      </c>
      <c r="I57" s="84" t="s">
        <v>455</v>
      </c>
      <c r="J57" s="48" t="s">
        <v>30</v>
      </c>
      <c r="K57" s="21" t="s">
        <v>492</v>
      </c>
      <c r="L57" s="48" t="s">
        <v>445</v>
      </c>
      <c r="M57" s="35">
        <f t="shared" si="5"/>
        <v>46000</v>
      </c>
      <c r="N57" s="35">
        <f t="shared" si="6"/>
        <v>46008</v>
      </c>
      <c r="O57" s="54">
        <v>46001.0</v>
      </c>
      <c r="P57" s="54">
        <v>46010.0</v>
      </c>
      <c r="S57" s="21" t="s">
        <v>23</v>
      </c>
    </row>
    <row r="58">
      <c r="A58" s="45">
        <f t="shared" si="4"/>
        <v>57</v>
      </c>
      <c r="B58" s="48" t="s">
        <v>493</v>
      </c>
      <c r="C58" s="48">
        <v>6.32503837E8</v>
      </c>
      <c r="D58" s="47"/>
      <c r="E58" s="58" t="s">
        <v>494</v>
      </c>
      <c r="F58" s="45"/>
      <c r="G58" s="58" t="s">
        <v>18</v>
      </c>
      <c r="H58" s="55" t="s">
        <v>454</v>
      </c>
      <c r="I58" s="84" t="s">
        <v>455</v>
      </c>
      <c r="J58" s="48" t="s">
        <v>30</v>
      </c>
      <c r="K58" s="21" t="s">
        <v>495</v>
      </c>
      <c r="L58" s="48" t="s">
        <v>445</v>
      </c>
      <c r="M58" s="35">
        <f t="shared" si="5"/>
        <v>46000</v>
      </c>
      <c r="N58" s="35">
        <f t="shared" si="6"/>
        <v>46008</v>
      </c>
      <c r="O58" s="54">
        <v>46001.0</v>
      </c>
      <c r="P58" s="54">
        <v>46010.0</v>
      </c>
      <c r="S58" s="21" t="s">
        <v>23</v>
      </c>
    </row>
    <row r="59">
      <c r="A59" s="45">
        <f t="shared" si="4"/>
        <v>58</v>
      </c>
      <c r="B59" s="49" t="s">
        <v>496</v>
      </c>
      <c r="C59" s="49">
        <v>6.32503838E8</v>
      </c>
      <c r="D59" s="47"/>
      <c r="E59" s="58" t="s">
        <v>497</v>
      </c>
      <c r="F59" s="45"/>
      <c r="G59" s="58" t="s">
        <v>18</v>
      </c>
      <c r="H59" s="55" t="s">
        <v>454</v>
      </c>
      <c r="I59" s="84" t="s">
        <v>455</v>
      </c>
      <c r="J59" s="48" t="s">
        <v>30</v>
      </c>
      <c r="K59" s="21" t="s">
        <v>498</v>
      </c>
      <c r="L59" s="48" t="s">
        <v>445</v>
      </c>
      <c r="M59" s="35">
        <f t="shared" si="5"/>
        <v>46000</v>
      </c>
      <c r="N59" s="35">
        <f t="shared" si="6"/>
        <v>46008</v>
      </c>
      <c r="O59" s="54">
        <v>46001.0</v>
      </c>
      <c r="P59" s="54">
        <v>46011.0</v>
      </c>
      <c r="S59" s="21" t="s">
        <v>23</v>
      </c>
    </row>
    <row r="60">
      <c r="A60" s="45">
        <f t="shared" si="4"/>
        <v>59</v>
      </c>
      <c r="B60" s="48" t="s">
        <v>499</v>
      </c>
      <c r="C60" s="48">
        <v>6.32503839E8</v>
      </c>
      <c r="D60" s="47"/>
      <c r="E60" s="58" t="s">
        <v>500</v>
      </c>
      <c r="F60" s="45"/>
      <c r="G60" s="58" t="s">
        <v>18</v>
      </c>
      <c r="H60" s="55" t="s">
        <v>454</v>
      </c>
      <c r="I60" s="84" t="s">
        <v>455</v>
      </c>
      <c r="J60" s="48" t="s">
        <v>30</v>
      </c>
      <c r="K60" s="21" t="s">
        <v>501</v>
      </c>
      <c r="L60" s="48" t="s">
        <v>445</v>
      </c>
      <c r="M60" s="35">
        <f t="shared" si="5"/>
        <v>46000</v>
      </c>
      <c r="N60" s="35">
        <f t="shared" si="6"/>
        <v>46008</v>
      </c>
      <c r="O60" s="54">
        <v>46001.0</v>
      </c>
      <c r="P60" s="54">
        <v>46011.0</v>
      </c>
      <c r="S60" s="21" t="s">
        <v>23</v>
      </c>
    </row>
    <row r="61">
      <c r="A61" s="45">
        <f t="shared" si="4"/>
        <v>60</v>
      </c>
      <c r="B61" s="48" t="s">
        <v>502</v>
      </c>
      <c r="C61" s="48">
        <v>6.3250384E8</v>
      </c>
      <c r="D61" s="47"/>
      <c r="E61" s="50" t="s">
        <v>503</v>
      </c>
      <c r="F61" s="45"/>
      <c r="G61" s="58" t="s">
        <v>18</v>
      </c>
      <c r="H61" s="55" t="s">
        <v>454</v>
      </c>
      <c r="I61" s="84" t="s">
        <v>455</v>
      </c>
      <c r="J61" s="48" t="s">
        <v>30</v>
      </c>
      <c r="K61" s="21" t="s">
        <v>504</v>
      </c>
      <c r="L61" s="48" t="s">
        <v>445</v>
      </c>
      <c r="M61" s="35">
        <f t="shared" si="5"/>
        <v>46000</v>
      </c>
      <c r="N61" s="35">
        <f t="shared" si="6"/>
        <v>46008</v>
      </c>
      <c r="O61" s="54">
        <v>46001.0</v>
      </c>
      <c r="P61" s="54">
        <v>46010.0</v>
      </c>
      <c r="S61" s="21" t="s">
        <v>23</v>
      </c>
    </row>
    <row r="62">
      <c r="A62" s="45">
        <f t="shared" si="4"/>
        <v>61</v>
      </c>
      <c r="B62" s="48" t="s">
        <v>505</v>
      </c>
      <c r="C62" s="48">
        <v>6.32503841E8</v>
      </c>
      <c r="D62" s="47"/>
      <c r="E62" s="58" t="s">
        <v>506</v>
      </c>
      <c r="F62" s="45"/>
      <c r="G62" s="58" t="s">
        <v>18</v>
      </c>
      <c r="H62" s="55" t="s">
        <v>454</v>
      </c>
      <c r="I62" s="84" t="s">
        <v>455</v>
      </c>
      <c r="J62" s="48" t="s">
        <v>30</v>
      </c>
      <c r="K62" s="21" t="s">
        <v>507</v>
      </c>
      <c r="L62" s="48" t="s">
        <v>445</v>
      </c>
      <c r="M62" s="35">
        <f t="shared" si="5"/>
        <v>46000</v>
      </c>
      <c r="N62" s="35">
        <f t="shared" si="6"/>
        <v>46008</v>
      </c>
      <c r="O62" s="54">
        <v>46001.0</v>
      </c>
      <c r="P62" s="54">
        <v>46011.0</v>
      </c>
      <c r="S62" s="21" t="s">
        <v>23</v>
      </c>
    </row>
    <row r="63">
      <c r="A63" s="45">
        <f t="shared" si="4"/>
        <v>62</v>
      </c>
      <c r="B63" s="48" t="s">
        <v>508</v>
      </c>
      <c r="C63" s="48">
        <v>6.32503842E8</v>
      </c>
      <c r="D63" s="47"/>
      <c r="E63" s="58" t="s">
        <v>509</v>
      </c>
      <c r="F63" s="45"/>
      <c r="G63" s="58" t="s">
        <v>18</v>
      </c>
      <c r="H63" s="55" t="s">
        <v>454</v>
      </c>
      <c r="I63" s="84" t="s">
        <v>455</v>
      </c>
      <c r="J63" s="48" t="s">
        <v>30</v>
      </c>
      <c r="K63" s="21" t="s">
        <v>510</v>
      </c>
      <c r="L63" s="48" t="s">
        <v>445</v>
      </c>
      <c r="M63" s="35">
        <f t="shared" si="5"/>
        <v>46000</v>
      </c>
      <c r="N63" s="35">
        <f t="shared" si="6"/>
        <v>46008</v>
      </c>
      <c r="O63" s="54">
        <v>46001.0</v>
      </c>
      <c r="P63" s="54">
        <v>46010.0</v>
      </c>
      <c r="S63" s="21" t="s">
        <v>23</v>
      </c>
    </row>
    <row r="64">
      <c r="A64" s="45">
        <f t="shared" si="4"/>
        <v>63</v>
      </c>
      <c r="B64" s="48" t="s">
        <v>511</v>
      </c>
      <c r="C64" s="48">
        <v>6.32503843E8</v>
      </c>
      <c r="D64" s="47"/>
      <c r="E64" s="58" t="s">
        <v>512</v>
      </c>
      <c r="F64" s="45"/>
      <c r="G64" s="58" t="s">
        <v>18</v>
      </c>
      <c r="H64" s="55" t="s">
        <v>454</v>
      </c>
      <c r="I64" s="84" t="s">
        <v>455</v>
      </c>
      <c r="J64" s="48" t="s">
        <v>30</v>
      </c>
      <c r="K64" s="21" t="s">
        <v>513</v>
      </c>
      <c r="L64" s="48" t="s">
        <v>445</v>
      </c>
      <c r="M64" s="35">
        <f t="shared" si="5"/>
        <v>46000</v>
      </c>
      <c r="N64" s="35">
        <f t="shared" si="6"/>
        <v>46008</v>
      </c>
      <c r="O64" s="54">
        <v>46001.0</v>
      </c>
      <c r="P64" s="54">
        <v>46011.0</v>
      </c>
      <c r="S64" s="21" t="s">
        <v>23</v>
      </c>
    </row>
    <row r="65">
      <c r="A65" s="45">
        <f t="shared" si="4"/>
        <v>64</v>
      </c>
      <c r="B65" s="48" t="s">
        <v>514</v>
      </c>
      <c r="C65" s="48">
        <v>6.32503844E8</v>
      </c>
      <c r="D65" s="47"/>
      <c r="E65" s="58" t="s">
        <v>515</v>
      </c>
      <c r="F65" s="45"/>
      <c r="G65" s="58" t="s">
        <v>18</v>
      </c>
      <c r="H65" s="55" t="s">
        <v>454</v>
      </c>
      <c r="I65" s="84" t="s">
        <v>455</v>
      </c>
      <c r="J65" s="48" t="s">
        <v>30</v>
      </c>
      <c r="K65" s="21" t="s">
        <v>516</v>
      </c>
      <c r="L65" s="48" t="s">
        <v>445</v>
      </c>
      <c r="M65" s="35">
        <f t="shared" si="5"/>
        <v>46000</v>
      </c>
      <c r="N65" s="35">
        <f t="shared" si="6"/>
        <v>46008</v>
      </c>
      <c r="O65" s="54">
        <v>46001.0</v>
      </c>
      <c r="P65" s="54">
        <v>46011.0</v>
      </c>
      <c r="S65" s="21" t="s">
        <v>23</v>
      </c>
    </row>
    <row r="66">
      <c r="A66" s="45">
        <f t="shared" si="4"/>
        <v>65</v>
      </c>
      <c r="B66" s="48" t="s">
        <v>517</v>
      </c>
      <c r="C66" s="48">
        <v>6.32503845E8</v>
      </c>
      <c r="D66" s="47"/>
      <c r="E66" s="58" t="s">
        <v>518</v>
      </c>
      <c r="F66" s="45"/>
      <c r="G66" s="58" t="s">
        <v>18</v>
      </c>
      <c r="H66" s="55" t="s">
        <v>454</v>
      </c>
      <c r="I66" s="84" t="s">
        <v>455</v>
      </c>
      <c r="J66" s="48" t="s">
        <v>30</v>
      </c>
      <c r="K66" s="21" t="s">
        <v>519</v>
      </c>
      <c r="L66" s="48" t="s">
        <v>445</v>
      </c>
      <c r="M66" s="35">
        <f t="shared" si="5"/>
        <v>46000</v>
      </c>
      <c r="N66" s="35">
        <f t="shared" si="6"/>
        <v>46008</v>
      </c>
      <c r="O66" s="54">
        <v>46001.0</v>
      </c>
      <c r="P66" s="54">
        <v>46010.0</v>
      </c>
      <c r="S66" s="21" t="s">
        <v>23</v>
      </c>
    </row>
    <row r="67">
      <c r="A67" s="45">
        <f t="shared" si="4"/>
        <v>66</v>
      </c>
      <c r="B67" s="48" t="s">
        <v>520</v>
      </c>
      <c r="C67" s="48">
        <v>6.32503846E8</v>
      </c>
      <c r="D67" s="47"/>
      <c r="E67" s="58" t="s">
        <v>521</v>
      </c>
      <c r="F67" s="45"/>
      <c r="G67" s="58" t="s">
        <v>18</v>
      </c>
      <c r="H67" s="55" t="s">
        <v>454</v>
      </c>
      <c r="I67" s="84" t="s">
        <v>455</v>
      </c>
      <c r="J67" s="48" t="s">
        <v>30</v>
      </c>
      <c r="K67" s="21" t="s">
        <v>522</v>
      </c>
      <c r="L67" s="48" t="s">
        <v>445</v>
      </c>
      <c r="M67" s="35">
        <f t="shared" si="5"/>
        <v>46000</v>
      </c>
      <c r="N67" s="35">
        <f t="shared" si="6"/>
        <v>46008</v>
      </c>
      <c r="O67" s="54">
        <v>46001.0</v>
      </c>
      <c r="P67" s="54">
        <v>46011.0</v>
      </c>
      <c r="S67" s="21" t="s">
        <v>23</v>
      </c>
    </row>
    <row r="68">
      <c r="A68" s="45">
        <f t="shared" si="4"/>
        <v>67</v>
      </c>
      <c r="B68" s="48" t="s">
        <v>523</v>
      </c>
      <c r="C68" s="48">
        <v>6.32503847E8</v>
      </c>
      <c r="D68" s="47"/>
      <c r="E68" s="58" t="s">
        <v>524</v>
      </c>
      <c r="F68" s="45"/>
      <c r="G68" s="58" t="s">
        <v>18</v>
      </c>
      <c r="H68" s="55" t="s">
        <v>454</v>
      </c>
      <c r="I68" s="84" t="s">
        <v>455</v>
      </c>
      <c r="J68" s="48" t="s">
        <v>30</v>
      </c>
      <c r="K68" s="21" t="s">
        <v>525</v>
      </c>
      <c r="L68" s="48" t="s">
        <v>445</v>
      </c>
      <c r="M68" s="35">
        <f t="shared" si="5"/>
        <v>46000</v>
      </c>
      <c r="N68" s="35">
        <f t="shared" si="6"/>
        <v>46008</v>
      </c>
      <c r="O68" s="54">
        <v>46001.0</v>
      </c>
      <c r="P68" s="54">
        <v>46011.0</v>
      </c>
      <c r="S68" s="21" t="s">
        <v>23</v>
      </c>
    </row>
    <row r="69">
      <c r="A69" s="45">
        <f t="shared" si="4"/>
        <v>68</v>
      </c>
      <c r="B69" s="48" t="s">
        <v>526</v>
      </c>
      <c r="C69" s="48">
        <v>6.32503848E8</v>
      </c>
      <c r="D69" s="47"/>
      <c r="E69" s="58" t="s">
        <v>527</v>
      </c>
      <c r="F69" s="45"/>
      <c r="G69" s="58" t="s">
        <v>18</v>
      </c>
      <c r="H69" s="55" t="s">
        <v>454</v>
      </c>
      <c r="I69" s="84" t="s">
        <v>455</v>
      </c>
      <c r="J69" s="48" t="s">
        <v>30</v>
      </c>
      <c r="K69" s="21" t="s">
        <v>528</v>
      </c>
      <c r="L69" s="48" t="s">
        <v>445</v>
      </c>
      <c r="M69" s="35">
        <f t="shared" si="5"/>
        <v>46000</v>
      </c>
      <c r="N69" s="35">
        <f t="shared" si="6"/>
        <v>46008</v>
      </c>
      <c r="O69" s="54">
        <v>46001.0</v>
      </c>
      <c r="P69" s="54">
        <v>46010.0</v>
      </c>
      <c r="S69" s="21" t="s">
        <v>23</v>
      </c>
    </row>
    <row r="70">
      <c r="A70" s="45">
        <f t="shared" si="4"/>
        <v>69</v>
      </c>
      <c r="B70" s="48" t="s">
        <v>529</v>
      </c>
      <c r="C70" s="48">
        <v>6.32503849E8</v>
      </c>
      <c r="D70" s="47"/>
      <c r="E70" s="58" t="s">
        <v>530</v>
      </c>
      <c r="F70" s="45"/>
      <c r="G70" s="58" t="s">
        <v>18</v>
      </c>
      <c r="H70" s="55" t="s">
        <v>454</v>
      </c>
      <c r="I70" s="84" t="s">
        <v>455</v>
      </c>
      <c r="J70" s="48" t="s">
        <v>30</v>
      </c>
      <c r="K70" s="21" t="s">
        <v>531</v>
      </c>
      <c r="L70" s="48" t="s">
        <v>445</v>
      </c>
      <c r="M70" s="35">
        <f t="shared" si="5"/>
        <v>46000</v>
      </c>
      <c r="N70" s="35">
        <f t="shared" si="6"/>
        <v>46008</v>
      </c>
      <c r="O70" s="54">
        <v>46001.0</v>
      </c>
      <c r="P70" s="54">
        <v>46010.0</v>
      </c>
      <c r="S70" s="21" t="s">
        <v>23</v>
      </c>
    </row>
    <row r="71">
      <c r="A71" s="45">
        <f t="shared" si="4"/>
        <v>70</v>
      </c>
      <c r="B71" s="48" t="s">
        <v>532</v>
      </c>
      <c r="C71" s="48">
        <v>6.3250385E8</v>
      </c>
      <c r="D71" s="47"/>
      <c r="E71" s="58" t="s">
        <v>533</v>
      </c>
      <c r="F71" s="45"/>
      <c r="G71" s="58" t="s">
        <v>18</v>
      </c>
      <c r="H71" s="55" t="s">
        <v>454</v>
      </c>
      <c r="I71" s="84" t="s">
        <v>455</v>
      </c>
      <c r="J71" s="48" t="s">
        <v>30</v>
      </c>
      <c r="K71" s="21" t="s">
        <v>534</v>
      </c>
      <c r="L71" s="48" t="s">
        <v>445</v>
      </c>
      <c r="M71" s="35">
        <f t="shared" si="5"/>
        <v>46000</v>
      </c>
      <c r="N71" s="35">
        <f t="shared" si="6"/>
        <v>46008</v>
      </c>
      <c r="O71" s="54">
        <v>46001.0</v>
      </c>
      <c r="P71" s="54">
        <v>46011.0</v>
      </c>
      <c r="S71" s="21" t="s">
        <v>23</v>
      </c>
    </row>
    <row r="72">
      <c r="A72" s="45">
        <f t="shared" si="4"/>
        <v>71</v>
      </c>
      <c r="B72" s="48" t="s">
        <v>535</v>
      </c>
      <c r="C72" s="48">
        <v>6.32503851E8</v>
      </c>
      <c r="D72" s="47"/>
      <c r="E72" s="58" t="s">
        <v>536</v>
      </c>
      <c r="F72" s="45"/>
      <c r="G72" s="58" t="s">
        <v>18</v>
      </c>
      <c r="H72" s="55" t="s">
        <v>454</v>
      </c>
      <c r="I72" s="84" t="s">
        <v>455</v>
      </c>
      <c r="J72" s="48" t="s">
        <v>30</v>
      </c>
      <c r="K72" s="21" t="s">
        <v>537</v>
      </c>
      <c r="L72" s="48" t="s">
        <v>445</v>
      </c>
      <c r="M72" s="35">
        <f t="shared" si="5"/>
        <v>46000</v>
      </c>
      <c r="N72" s="35">
        <f t="shared" si="6"/>
        <v>46008</v>
      </c>
      <c r="O72" s="54">
        <v>46001.0</v>
      </c>
      <c r="P72" s="54">
        <v>46010.0</v>
      </c>
      <c r="S72" s="21" t="s">
        <v>23</v>
      </c>
    </row>
    <row r="73">
      <c r="H73" s="85"/>
      <c r="N73" s="35"/>
    </row>
    <row r="74">
      <c r="H74" s="85"/>
    </row>
    <row r="75">
      <c r="H75" s="85"/>
    </row>
    <row r="76">
      <c r="H76" s="85"/>
    </row>
    <row r="77">
      <c r="H77" s="85"/>
    </row>
    <row r="78">
      <c r="H78" s="85"/>
    </row>
    <row r="79">
      <c r="H79" s="85"/>
    </row>
    <row r="80">
      <c r="H80" s="85"/>
    </row>
    <row r="81">
      <c r="H81" s="85"/>
    </row>
    <row r="82">
      <c r="H82" s="85"/>
    </row>
    <row r="83">
      <c r="H83" s="85"/>
    </row>
    <row r="84">
      <c r="H84" s="85"/>
    </row>
    <row r="85">
      <c r="H85" s="85"/>
    </row>
    <row r="86">
      <c r="H86" s="85"/>
    </row>
    <row r="87">
      <c r="H87" s="85"/>
    </row>
    <row r="88">
      <c r="H88" s="85"/>
    </row>
    <row r="89">
      <c r="H89" s="85"/>
    </row>
    <row r="90">
      <c r="H90" s="85"/>
    </row>
    <row r="91">
      <c r="H91" s="85"/>
    </row>
    <row r="92">
      <c r="H92" s="85"/>
    </row>
    <row r="93">
      <c r="H93" s="85"/>
    </row>
    <row r="94">
      <c r="H94" s="85"/>
    </row>
    <row r="95">
      <c r="H95" s="85"/>
    </row>
    <row r="96">
      <c r="H96" s="85"/>
    </row>
    <row r="97">
      <c r="H97" s="85"/>
    </row>
    <row r="98">
      <c r="H98" s="85"/>
    </row>
    <row r="99">
      <c r="H99" s="85"/>
    </row>
    <row r="100">
      <c r="H100" s="85"/>
    </row>
    <row r="101">
      <c r="H101" s="85"/>
    </row>
    <row r="102">
      <c r="H102" s="85"/>
    </row>
    <row r="103">
      <c r="H103" s="85"/>
    </row>
    <row r="104">
      <c r="H104" s="85"/>
    </row>
    <row r="105">
      <c r="H105" s="85"/>
    </row>
    <row r="106">
      <c r="H106" s="85"/>
    </row>
    <row r="107">
      <c r="H107" s="85"/>
    </row>
    <row r="108">
      <c r="H108" s="85"/>
    </row>
    <row r="109">
      <c r="H109" s="85"/>
    </row>
    <row r="110">
      <c r="H110" s="85"/>
    </row>
    <row r="111">
      <c r="H111" s="85"/>
    </row>
    <row r="112">
      <c r="H112" s="85"/>
    </row>
    <row r="113">
      <c r="H113" s="85"/>
    </row>
    <row r="114">
      <c r="H114" s="85"/>
    </row>
    <row r="115">
      <c r="H115" s="85"/>
    </row>
    <row r="116">
      <c r="H116" s="85"/>
    </row>
    <row r="117">
      <c r="H117" s="85"/>
    </row>
    <row r="118">
      <c r="H118" s="85"/>
    </row>
    <row r="119">
      <c r="H119" s="85"/>
    </row>
    <row r="120">
      <c r="H120" s="85"/>
    </row>
    <row r="121">
      <c r="H121" s="85"/>
    </row>
    <row r="122">
      <c r="H122" s="85"/>
    </row>
    <row r="123">
      <c r="H123" s="85"/>
    </row>
    <row r="124">
      <c r="H124" s="85"/>
    </row>
    <row r="125">
      <c r="H125" s="85"/>
    </row>
    <row r="126">
      <c r="H126" s="85"/>
    </row>
    <row r="127">
      <c r="H127" s="85"/>
    </row>
    <row r="128">
      <c r="H128" s="85"/>
    </row>
    <row r="129">
      <c r="H129" s="85"/>
    </row>
    <row r="130">
      <c r="H130" s="85"/>
    </row>
    <row r="131">
      <c r="H131" s="85"/>
    </row>
    <row r="132">
      <c r="H132" s="85"/>
    </row>
    <row r="133">
      <c r="H133" s="85"/>
    </row>
    <row r="134">
      <c r="H134" s="85"/>
    </row>
    <row r="135">
      <c r="H135" s="85"/>
    </row>
    <row r="136">
      <c r="H136" s="85"/>
    </row>
    <row r="137">
      <c r="H137" s="85"/>
    </row>
    <row r="138">
      <c r="H138" s="85"/>
    </row>
    <row r="139">
      <c r="H139" s="85"/>
    </row>
    <row r="140">
      <c r="H140" s="85"/>
    </row>
    <row r="141">
      <c r="H141" s="85"/>
    </row>
    <row r="142">
      <c r="H142" s="85"/>
    </row>
    <row r="143">
      <c r="H143" s="85"/>
    </row>
    <row r="144">
      <c r="H144" s="85"/>
    </row>
    <row r="145">
      <c r="H145" s="85"/>
    </row>
    <row r="146">
      <c r="H146" s="85"/>
    </row>
    <row r="147">
      <c r="H147" s="85"/>
    </row>
    <row r="148">
      <c r="H148" s="85"/>
    </row>
    <row r="149">
      <c r="H149" s="85"/>
    </row>
    <row r="150">
      <c r="H150" s="85"/>
    </row>
    <row r="151">
      <c r="H151" s="85"/>
    </row>
    <row r="152">
      <c r="H152" s="85"/>
    </row>
    <row r="153">
      <c r="H153" s="85"/>
    </row>
    <row r="154">
      <c r="H154" s="85"/>
    </row>
    <row r="155">
      <c r="H155" s="85"/>
    </row>
    <row r="156">
      <c r="H156" s="85"/>
    </row>
    <row r="157">
      <c r="H157" s="85"/>
    </row>
    <row r="158">
      <c r="H158" s="85"/>
    </row>
    <row r="159">
      <c r="H159" s="85"/>
    </row>
    <row r="160">
      <c r="H160" s="85"/>
    </row>
    <row r="161">
      <c r="H161" s="85"/>
    </row>
    <row r="162">
      <c r="H162" s="85"/>
    </row>
    <row r="163">
      <c r="H163" s="85"/>
    </row>
    <row r="164">
      <c r="H164" s="85"/>
    </row>
    <row r="165">
      <c r="H165" s="85"/>
    </row>
    <row r="166">
      <c r="H166" s="85"/>
    </row>
    <row r="167">
      <c r="H167" s="85"/>
    </row>
    <row r="168">
      <c r="H168" s="85"/>
    </row>
    <row r="169">
      <c r="H169" s="85"/>
    </row>
    <row r="170">
      <c r="H170" s="85"/>
    </row>
    <row r="171">
      <c r="H171" s="85"/>
    </row>
    <row r="172">
      <c r="H172" s="85"/>
    </row>
    <row r="173">
      <c r="H173" s="85"/>
    </row>
    <row r="174">
      <c r="H174" s="85"/>
    </row>
    <row r="175">
      <c r="H175" s="85"/>
    </row>
    <row r="176">
      <c r="H176" s="85"/>
    </row>
    <row r="177">
      <c r="H177" s="85"/>
    </row>
    <row r="178">
      <c r="H178" s="85"/>
    </row>
    <row r="179">
      <c r="H179" s="85"/>
    </row>
    <row r="180">
      <c r="H180" s="85"/>
    </row>
    <row r="181">
      <c r="H181" s="85"/>
    </row>
    <row r="182">
      <c r="H182" s="85"/>
    </row>
    <row r="183">
      <c r="H183" s="85"/>
    </row>
    <row r="184">
      <c r="H184" s="85"/>
    </row>
    <row r="185">
      <c r="H185" s="85"/>
    </row>
    <row r="186">
      <c r="H186" s="85"/>
    </row>
    <row r="187">
      <c r="H187" s="85"/>
    </row>
    <row r="188">
      <c r="H188" s="85"/>
    </row>
    <row r="189">
      <c r="H189" s="85"/>
    </row>
    <row r="190">
      <c r="H190" s="85"/>
    </row>
    <row r="191">
      <c r="H191" s="85"/>
    </row>
    <row r="192">
      <c r="H192" s="85"/>
    </row>
    <row r="193">
      <c r="H193" s="85"/>
    </row>
    <row r="194">
      <c r="H194" s="85"/>
    </row>
    <row r="195">
      <c r="H195" s="85"/>
    </row>
    <row r="196">
      <c r="H196" s="85"/>
    </row>
    <row r="197">
      <c r="H197" s="85"/>
    </row>
    <row r="198">
      <c r="H198" s="85"/>
    </row>
    <row r="199">
      <c r="H199" s="85"/>
    </row>
    <row r="200">
      <c r="H200" s="85"/>
    </row>
    <row r="201">
      <c r="H201" s="85"/>
    </row>
    <row r="202">
      <c r="H202" s="85"/>
    </row>
    <row r="203">
      <c r="H203" s="85"/>
    </row>
    <row r="204">
      <c r="H204" s="85"/>
    </row>
    <row r="205">
      <c r="H205" s="85"/>
    </row>
    <row r="206">
      <c r="H206" s="85"/>
    </row>
    <row r="207">
      <c r="H207" s="85"/>
    </row>
    <row r="208">
      <c r="H208" s="85"/>
    </row>
    <row r="209">
      <c r="H209" s="85"/>
    </row>
    <row r="210">
      <c r="H210" s="85"/>
    </row>
    <row r="211">
      <c r="H211" s="85"/>
    </row>
    <row r="212">
      <c r="H212" s="85"/>
    </row>
    <row r="213">
      <c r="H213" s="85"/>
    </row>
    <row r="214">
      <c r="H214" s="85"/>
    </row>
    <row r="215">
      <c r="H215" s="85"/>
    </row>
    <row r="216">
      <c r="H216" s="85"/>
    </row>
    <row r="217">
      <c r="H217" s="85"/>
    </row>
    <row r="218">
      <c r="H218" s="85"/>
    </row>
    <row r="219">
      <c r="H219" s="85"/>
    </row>
    <row r="220">
      <c r="H220" s="85"/>
    </row>
    <row r="221">
      <c r="H221" s="85"/>
    </row>
    <row r="222">
      <c r="H222" s="85"/>
    </row>
    <row r="223">
      <c r="H223" s="85"/>
    </row>
    <row r="224">
      <c r="H224" s="85"/>
    </row>
    <row r="225">
      <c r="H225" s="85"/>
    </row>
    <row r="226">
      <c r="H226" s="85"/>
    </row>
    <row r="227">
      <c r="H227" s="85"/>
    </row>
    <row r="228">
      <c r="H228" s="85"/>
    </row>
    <row r="229">
      <c r="H229" s="85"/>
    </row>
    <row r="230">
      <c r="H230" s="85"/>
    </row>
    <row r="231">
      <c r="H231" s="85"/>
    </row>
    <row r="232">
      <c r="H232" s="85"/>
    </row>
    <row r="233">
      <c r="H233" s="85"/>
    </row>
    <row r="234">
      <c r="H234" s="85"/>
    </row>
    <row r="235">
      <c r="H235" s="85"/>
    </row>
    <row r="236">
      <c r="H236" s="85"/>
    </row>
    <row r="237">
      <c r="H237" s="85"/>
    </row>
    <row r="238">
      <c r="H238" s="85"/>
    </row>
    <row r="239">
      <c r="H239" s="85"/>
    </row>
    <row r="240">
      <c r="H240" s="85"/>
    </row>
    <row r="241">
      <c r="H241" s="85"/>
    </row>
    <row r="242">
      <c r="H242" s="85"/>
    </row>
    <row r="243">
      <c r="H243" s="85"/>
    </row>
    <row r="244">
      <c r="H244" s="85"/>
    </row>
    <row r="245">
      <c r="H245" s="85"/>
    </row>
    <row r="246">
      <c r="H246" s="85"/>
    </row>
    <row r="247">
      <c r="H247" s="85"/>
    </row>
    <row r="248">
      <c r="H248" s="85"/>
    </row>
    <row r="249">
      <c r="H249" s="85"/>
    </row>
    <row r="250">
      <c r="H250" s="85"/>
    </row>
    <row r="251">
      <c r="H251" s="85"/>
    </row>
    <row r="252">
      <c r="H252" s="85"/>
    </row>
    <row r="253">
      <c r="H253" s="85"/>
    </row>
    <row r="254">
      <c r="H254" s="85"/>
    </row>
    <row r="255">
      <c r="H255" s="85"/>
    </row>
    <row r="256">
      <c r="H256" s="85"/>
    </row>
    <row r="257">
      <c r="H257" s="85"/>
    </row>
    <row r="258">
      <c r="H258" s="85"/>
    </row>
    <row r="259">
      <c r="H259" s="85"/>
    </row>
    <row r="260">
      <c r="H260" s="85"/>
    </row>
    <row r="261">
      <c r="H261" s="85"/>
    </row>
    <row r="262">
      <c r="H262" s="85"/>
    </row>
    <row r="263">
      <c r="H263" s="85"/>
    </row>
    <row r="264">
      <c r="H264" s="85"/>
    </row>
    <row r="265">
      <c r="H265" s="85"/>
    </row>
    <row r="266">
      <c r="H266" s="85"/>
    </row>
    <row r="267">
      <c r="H267" s="85"/>
    </row>
    <row r="268">
      <c r="H268" s="85"/>
    </row>
    <row r="269">
      <c r="H269" s="85"/>
    </row>
    <row r="270">
      <c r="H270" s="85"/>
    </row>
    <row r="271">
      <c r="H271" s="85"/>
    </row>
    <row r="272">
      <c r="H272" s="85"/>
    </row>
    <row r="273">
      <c r="H273" s="85"/>
    </row>
    <row r="274">
      <c r="H274" s="85"/>
    </row>
    <row r="275">
      <c r="H275" s="85"/>
    </row>
    <row r="276">
      <c r="H276" s="85"/>
    </row>
    <row r="277">
      <c r="H277" s="85"/>
    </row>
    <row r="278">
      <c r="H278" s="85"/>
    </row>
    <row r="279">
      <c r="H279" s="85"/>
    </row>
    <row r="280">
      <c r="H280" s="85"/>
    </row>
    <row r="281">
      <c r="H281" s="85"/>
    </row>
    <row r="282">
      <c r="H282" s="85"/>
    </row>
    <row r="283">
      <c r="H283" s="85"/>
    </row>
    <row r="284">
      <c r="H284" s="85"/>
    </row>
    <row r="285">
      <c r="H285" s="85"/>
    </row>
    <row r="286">
      <c r="H286" s="85"/>
    </row>
    <row r="287">
      <c r="H287" s="85"/>
    </row>
    <row r="288">
      <c r="H288" s="85"/>
    </row>
    <row r="289">
      <c r="H289" s="85"/>
    </row>
    <row r="290">
      <c r="H290" s="85"/>
    </row>
    <row r="291">
      <c r="H291" s="85"/>
    </row>
    <row r="292">
      <c r="H292" s="85"/>
    </row>
    <row r="293">
      <c r="H293" s="85"/>
    </row>
    <row r="294">
      <c r="H294" s="85"/>
    </row>
    <row r="295">
      <c r="H295" s="85"/>
    </row>
    <row r="296">
      <c r="H296" s="85"/>
    </row>
    <row r="297">
      <c r="H297" s="85"/>
    </row>
    <row r="298">
      <c r="H298" s="85"/>
    </row>
    <row r="299">
      <c r="H299" s="85"/>
    </row>
    <row r="300">
      <c r="H300" s="85"/>
    </row>
    <row r="301">
      <c r="H301" s="85"/>
    </row>
    <row r="302">
      <c r="H302" s="85"/>
    </row>
    <row r="303">
      <c r="H303" s="85"/>
    </row>
    <row r="304">
      <c r="H304" s="85"/>
    </row>
    <row r="305">
      <c r="H305" s="85"/>
    </row>
    <row r="306">
      <c r="H306" s="85"/>
    </row>
    <row r="307">
      <c r="H307" s="85"/>
    </row>
    <row r="308">
      <c r="H308" s="85"/>
    </row>
    <row r="309">
      <c r="H309" s="85"/>
    </row>
    <row r="310">
      <c r="H310" s="85"/>
    </row>
    <row r="311">
      <c r="H311" s="85"/>
    </row>
    <row r="312">
      <c r="H312" s="85"/>
    </row>
    <row r="313">
      <c r="H313" s="85"/>
    </row>
    <row r="314">
      <c r="H314" s="85"/>
    </row>
    <row r="315">
      <c r="H315" s="85"/>
    </row>
    <row r="316">
      <c r="H316" s="85"/>
    </row>
    <row r="317">
      <c r="H317" s="85"/>
    </row>
    <row r="318">
      <c r="H318" s="85"/>
    </row>
    <row r="319">
      <c r="H319" s="85"/>
    </row>
    <row r="320">
      <c r="H320" s="85"/>
    </row>
    <row r="321">
      <c r="H321" s="85"/>
    </row>
    <row r="322">
      <c r="H322" s="85"/>
    </row>
    <row r="323">
      <c r="H323" s="85"/>
    </row>
    <row r="324">
      <c r="H324" s="85"/>
    </row>
    <row r="325">
      <c r="H325" s="85"/>
    </row>
    <row r="326">
      <c r="H326" s="85"/>
    </row>
    <row r="327">
      <c r="H327" s="85"/>
    </row>
    <row r="328">
      <c r="H328" s="85"/>
    </row>
    <row r="329">
      <c r="H329" s="85"/>
    </row>
    <row r="330">
      <c r="H330" s="85"/>
    </row>
    <row r="331">
      <c r="H331" s="85"/>
    </row>
    <row r="332">
      <c r="H332" s="85"/>
    </row>
    <row r="333">
      <c r="H333" s="85"/>
    </row>
    <row r="334">
      <c r="H334" s="85"/>
    </row>
    <row r="335">
      <c r="H335" s="85"/>
    </row>
    <row r="336">
      <c r="H336" s="85"/>
    </row>
    <row r="337">
      <c r="H337" s="85"/>
    </row>
    <row r="338">
      <c r="H338" s="85"/>
    </row>
    <row r="339">
      <c r="H339" s="85"/>
    </row>
    <row r="340">
      <c r="H340" s="85"/>
    </row>
    <row r="341">
      <c r="H341" s="85"/>
    </row>
    <row r="342">
      <c r="H342" s="85"/>
    </row>
    <row r="343">
      <c r="H343" s="85"/>
    </row>
    <row r="344">
      <c r="H344" s="85"/>
    </row>
    <row r="345">
      <c r="H345" s="85"/>
    </row>
    <row r="346">
      <c r="H346" s="85"/>
    </row>
    <row r="347">
      <c r="H347" s="85"/>
    </row>
    <row r="348">
      <c r="H348" s="85"/>
    </row>
    <row r="349">
      <c r="H349" s="85"/>
    </row>
    <row r="350">
      <c r="H350" s="85"/>
    </row>
    <row r="351">
      <c r="H351" s="85"/>
    </row>
    <row r="352">
      <c r="H352" s="85"/>
    </row>
    <row r="353">
      <c r="H353" s="85"/>
    </row>
    <row r="354">
      <c r="H354" s="85"/>
    </row>
    <row r="355">
      <c r="H355" s="85"/>
    </row>
    <row r="356">
      <c r="H356" s="85"/>
    </row>
    <row r="357">
      <c r="H357" s="85"/>
    </row>
    <row r="358">
      <c r="H358" s="85"/>
    </row>
    <row r="359">
      <c r="H359" s="85"/>
    </row>
    <row r="360">
      <c r="H360" s="85"/>
    </row>
    <row r="361">
      <c r="H361" s="85"/>
    </row>
    <row r="362">
      <c r="H362" s="85"/>
    </row>
    <row r="363">
      <c r="H363" s="85"/>
    </row>
    <row r="364">
      <c r="H364" s="85"/>
    </row>
    <row r="365">
      <c r="H365" s="85"/>
    </row>
    <row r="366">
      <c r="H366" s="85"/>
    </row>
    <row r="367">
      <c r="H367" s="85"/>
    </row>
    <row r="368">
      <c r="H368" s="85"/>
    </row>
    <row r="369">
      <c r="H369" s="85"/>
    </row>
    <row r="370">
      <c r="H370" s="85"/>
    </row>
    <row r="371">
      <c r="H371" s="85"/>
    </row>
    <row r="372">
      <c r="H372" s="85"/>
    </row>
    <row r="373">
      <c r="H373" s="85"/>
    </row>
    <row r="374">
      <c r="H374" s="85"/>
    </row>
    <row r="375">
      <c r="H375" s="85"/>
    </row>
    <row r="376">
      <c r="H376" s="85"/>
    </row>
    <row r="377">
      <c r="H377" s="85"/>
    </row>
    <row r="378">
      <c r="H378" s="85"/>
    </row>
    <row r="379">
      <c r="H379" s="85"/>
    </row>
    <row r="380">
      <c r="H380" s="85"/>
    </row>
    <row r="381">
      <c r="H381" s="85"/>
    </row>
    <row r="382">
      <c r="H382" s="85"/>
    </row>
    <row r="383">
      <c r="H383" s="85"/>
    </row>
    <row r="384">
      <c r="H384" s="85"/>
    </row>
    <row r="385">
      <c r="H385" s="85"/>
    </row>
    <row r="386">
      <c r="H386" s="85"/>
    </row>
    <row r="387">
      <c r="H387" s="85"/>
    </row>
    <row r="388">
      <c r="H388" s="85"/>
    </row>
    <row r="389">
      <c r="H389" s="85"/>
    </row>
    <row r="390">
      <c r="H390" s="85"/>
    </row>
    <row r="391">
      <c r="H391" s="85"/>
    </row>
    <row r="392">
      <c r="H392" s="85"/>
    </row>
    <row r="393">
      <c r="H393" s="85"/>
    </row>
    <row r="394">
      <c r="H394" s="85"/>
    </row>
    <row r="395">
      <c r="H395" s="85"/>
    </row>
    <row r="396">
      <c r="H396" s="85"/>
    </row>
    <row r="397">
      <c r="H397" s="85"/>
    </row>
    <row r="398">
      <c r="H398" s="85"/>
    </row>
    <row r="399">
      <c r="H399" s="85"/>
    </row>
    <row r="400">
      <c r="H400" s="85"/>
    </row>
    <row r="401">
      <c r="H401" s="85"/>
    </row>
    <row r="402">
      <c r="H402" s="85"/>
    </row>
    <row r="403">
      <c r="H403" s="85"/>
    </row>
    <row r="404">
      <c r="H404" s="85"/>
    </row>
    <row r="405">
      <c r="H405" s="85"/>
    </row>
    <row r="406">
      <c r="H406" s="85"/>
    </row>
    <row r="407">
      <c r="H407" s="85"/>
    </row>
    <row r="408">
      <c r="H408" s="85"/>
    </row>
    <row r="409">
      <c r="H409" s="85"/>
    </row>
    <row r="410">
      <c r="H410" s="85"/>
    </row>
    <row r="411">
      <c r="H411" s="85"/>
    </row>
    <row r="412">
      <c r="H412" s="85"/>
    </row>
    <row r="413">
      <c r="H413" s="85"/>
    </row>
    <row r="414">
      <c r="H414" s="85"/>
    </row>
    <row r="415">
      <c r="H415" s="85"/>
    </row>
    <row r="416">
      <c r="H416" s="85"/>
    </row>
    <row r="417">
      <c r="H417" s="85"/>
    </row>
    <row r="418">
      <c r="H418" s="85"/>
    </row>
    <row r="419">
      <c r="H419" s="85"/>
    </row>
    <row r="420">
      <c r="H420" s="85"/>
    </row>
    <row r="421">
      <c r="H421" s="85"/>
    </row>
    <row r="422">
      <c r="H422" s="85"/>
    </row>
    <row r="423">
      <c r="H423" s="85"/>
    </row>
    <row r="424">
      <c r="H424" s="85"/>
    </row>
    <row r="425">
      <c r="H425" s="85"/>
    </row>
    <row r="426">
      <c r="H426" s="85"/>
    </row>
    <row r="427">
      <c r="H427" s="85"/>
    </row>
    <row r="428">
      <c r="H428" s="85"/>
    </row>
    <row r="429">
      <c r="H429" s="85"/>
    </row>
    <row r="430">
      <c r="H430" s="85"/>
    </row>
    <row r="431">
      <c r="H431" s="85"/>
    </row>
    <row r="432">
      <c r="H432" s="85"/>
    </row>
    <row r="433">
      <c r="H433" s="85"/>
    </row>
    <row r="434">
      <c r="H434" s="85"/>
    </row>
    <row r="435">
      <c r="H435" s="85"/>
    </row>
    <row r="436">
      <c r="H436" s="85"/>
    </row>
    <row r="437">
      <c r="H437" s="85"/>
    </row>
    <row r="438">
      <c r="H438" s="85"/>
    </row>
    <row r="439">
      <c r="H439" s="85"/>
    </row>
    <row r="440">
      <c r="H440" s="85"/>
    </row>
    <row r="441">
      <c r="H441" s="85"/>
    </row>
    <row r="442">
      <c r="H442" s="85"/>
    </row>
    <row r="443">
      <c r="H443" s="85"/>
    </row>
    <row r="444">
      <c r="H444" s="85"/>
    </row>
    <row r="445">
      <c r="H445" s="85"/>
    </row>
    <row r="446">
      <c r="H446" s="85"/>
    </row>
    <row r="447">
      <c r="H447" s="85"/>
    </row>
    <row r="448">
      <c r="H448" s="85"/>
    </row>
    <row r="449">
      <c r="H449" s="85"/>
    </row>
    <row r="450">
      <c r="H450" s="85"/>
    </row>
    <row r="451">
      <c r="H451" s="85"/>
    </row>
    <row r="452">
      <c r="H452" s="85"/>
    </row>
    <row r="453">
      <c r="H453" s="85"/>
    </row>
    <row r="454">
      <c r="H454" s="85"/>
    </row>
    <row r="455">
      <c r="H455" s="85"/>
    </row>
    <row r="456">
      <c r="H456" s="85"/>
    </row>
    <row r="457">
      <c r="H457" s="85"/>
    </row>
    <row r="458">
      <c r="H458" s="85"/>
    </row>
    <row r="459">
      <c r="H459" s="85"/>
    </row>
    <row r="460">
      <c r="H460" s="85"/>
    </row>
    <row r="461">
      <c r="H461" s="85"/>
    </row>
    <row r="462">
      <c r="H462" s="85"/>
    </row>
    <row r="463">
      <c r="H463" s="85"/>
    </row>
    <row r="464">
      <c r="H464" s="85"/>
    </row>
    <row r="465">
      <c r="H465" s="85"/>
    </row>
    <row r="466">
      <c r="H466" s="85"/>
    </row>
    <row r="467">
      <c r="H467" s="85"/>
    </row>
    <row r="468">
      <c r="H468" s="85"/>
    </row>
    <row r="469">
      <c r="H469" s="85"/>
    </row>
    <row r="470">
      <c r="H470" s="85"/>
    </row>
    <row r="471">
      <c r="H471" s="85"/>
    </row>
    <row r="472">
      <c r="H472" s="85"/>
    </row>
    <row r="473">
      <c r="H473" s="85"/>
    </row>
    <row r="474">
      <c r="H474" s="85"/>
    </row>
    <row r="475">
      <c r="H475" s="85"/>
    </row>
    <row r="476">
      <c r="H476" s="85"/>
    </row>
    <row r="477">
      <c r="H477" s="85"/>
    </row>
    <row r="478">
      <c r="H478" s="85"/>
    </row>
    <row r="479">
      <c r="H479" s="85"/>
    </row>
    <row r="480">
      <c r="H480" s="85"/>
    </row>
    <row r="481">
      <c r="H481" s="85"/>
    </row>
    <row r="482">
      <c r="H482" s="85"/>
    </row>
    <row r="483">
      <c r="H483" s="85"/>
    </row>
    <row r="484">
      <c r="H484" s="85"/>
    </row>
    <row r="485">
      <c r="H485" s="85"/>
    </row>
    <row r="486">
      <c r="H486" s="85"/>
    </row>
    <row r="487">
      <c r="H487" s="85"/>
    </row>
    <row r="488">
      <c r="H488" s="85"/>
    </row>
    <row r="489">
      <c r="H489" s="85"/>
    </row>
    <row r="490">
      <c r="H490" s="85"/>
    </row>
    <row r="491">
      <c r="H491" s="85"/>
    </row>
    <row r="492">
      <c r="H492" s="85"/>
    </row>
    <row r="493">
      <c r="H493" s="85"/>
    </row>
    <row r="494">
      <c r="H494" s="85"/>
    </row>
    <row r="495">
      <c r="H495" s="85"/>
    </row>
    <row r="496">
      <c r="H496" s="85"/>
    </row>
    <row r="497">
      <c r="H497" s="85"/>
    </row>
    <row r="498">
      <c r="H498" s="85"/>
    </row>
    <row r="499">
      <c r="H499" s="85"/>
    </row>
    <row r="500">
      <c r="H500" s="85"/>
    </row>
    <row r="501">
      <c r="H501" s="85"/>
    </row>
    <row r="502">
      <c r="H502" s="85"/>
    </row>
    <row r="503">
      <c r="H503" s="85"/>
    </row>
    <row r="504">
      <c r="H504" s="85"/>
    </row>
    <row r="505">
      <c r="H505" s="85"/>
    </row>
    <row r="506">
      <c r="H506" s="85"/>
    </row>
    <row r="507">
      <c r="H507" s="85"/>
    </row>
    <row r="508">
      <c r="H508" s="85"/>
    </row>
    <row r="509">
      <c r="H509" s="85"/>
    </row>
    <row r="510">
      <c r="H510" s="85"/>
    </row>
    <row r="511">
      <c r="H511" s="85"/>
    </row>
    <row r="512">
      <c r="H512" s="85"/>
    </row>
    <row r="513">
      <c r="H513" s="85"/>
    </row>
    <row r="514">
      <c r="H514" s="85"/>
    </row>
    <row r="515">
      <c r="H515" s="85"/>
    </row>
    <row r="516">
      <c r="H516" s="85"/>
    </row>
    <row r="517">
      <c r="H517" s="85"/>
    </row>
    <row r="518">
      <c r="H518" s="85"/>
    </row>
    <row r="519">
      <c r="H519" s="85"/>
    </row>
    <row r="520">
      <c r="H520" s="85"/>
    </row>
    <row r="521">
      <c r="H521" s="85"/>
    </row>
    <row r="522">
      <c r="H522" s="85"/>
    </row>
    <row r="523">
      <c r="H523" s="85"/>
    </row>
    <row r="524">
      <c r="H524" s="85"/>
    </row>
    <row r="525">
      <c r="H525" s="85"/>
    </row>
    <row r="526">
      <c r="H526" s="85"/>
    </row>
    <row r="527">
      <c r="H527" s="85"/>
    </row>
    <row r="528">
      <c r="H528" s="85"/>
    </row>
    <row r="529">
      <c r="H529" s="85"/>
    </row>
    <row r="530">
      <c r="H530" s="85"/>
    </row>
    <row r="531">
      <c r="H531" s="85"/>
    </row>
    <row r="532">
      <c r="H532" s="85"/>
    </row>
    <row r="533">
      <c r="H533" s="85"/>
    </row>
    <row r="534">
      <c r="H534" s="85"/>
    </row>
    <row r="535">
      <c r="H535" s="85"/>
    </row>
    <row r="536">
      <c r="H536" s="85"/>
    </row>
    <row r="537">
      <c r="H537" s="85"/>
    </row>
    <row r="538">
      <c r="H538" s="85"/>
    </row>
    <row r="539">
      <c r="H539" s="85"/>
    </row>
    <row r="540">
      <c r="H540" s="85"/>
    </row>
    <row r="541">
      <c r="H541" s="85"/>
    </row>
    <row r="542">
      <c r="H542" s="85"/>
    </row>
    <row r="543">
      <c r="H543" s="85"/>
    </row>
    <row r="544">
      <c r="H544" s="85"/>
    </row>
    <row r="545">
      <c r="H545" s="85"/>
    </row>
    <row r="546">
      <c r="H546" s="85"/>
    </row>
    <row r="547">
      <c r="H547" s="85"/>
    </row>
    <row r="548">
      <c r="H548" s="85"/>
    </row>
    <row r="549">
      <c r="H549" s="85"/>
    </row>
    <row r="550">
      <c r="H550" s="85"/>
    </row>
    <row r="551">
      <c r="H551" s="85"/>
    </row>
    <row r="552">
      <c r="H552" s="85"/>
    </row>
    <row r="553">
      <c r="H553" s="85"/>
    </row>
    <row r="554">
      <c r="H554" s="85"/>
    </row>
    <row r="555">
      <c r="H555" s="85"/>
    </row>
    <row r="556">
      <c r="H556" s="85"/>
    </row>
    <row r="557">
      <c r="H557" s="85"/>
    </row>
    <row r="558">
      <c r="H558" s="85"/>
    </row>
    <row r="559">
      <c r="H559" s="85"/>
    </row>
    <row r="560">
      <c r="H560" s="85"/>
    </row>
    <row r="561">
      <c r="H561" s="85"/>
    </row>
    <row r="562">
      <c r="H562" s="85"/>
    </row>
    <row r="563">
      <c r="H563" s="85"/>
    </row>
    <row r="564">
      <c r="H564" s="85"/>
    </row>
    <row r="565">
      <c r="H565" s="85"/>
    </row>
    <row r="566">
      <c r="H566" s="85"/>
    </row>
    <row r="567">
      <c r="H567" s="85"/>
    </row>
    <row r="568">
      <c r="H568" s="85"/>
    </row>
    <row r="569">
      <c r="H569" s="85"/>
    </row>
    <row r="570">
      <c r="H570" s="85"/>
    </row>
    <row r="571">
      <c r="H571" s="85"/>
    </row>
    <row r="572">
      <c r="H572" s="85"/>
    </row>
    <row r="573">
      <c r="H573" s="85"/>
    </row>
    <row r="574">
      <c r="H574" s="85"/>
    </row>
    <row r="575">
      <c r="H575" s="85"/>
    </row>
    <row r="576">
      <c r="H576" s="85"/>
    </row>
    <row r="577">
      <c r="H577" s="85"/>
    </row>
    <row r="578">
      <c r="H578" s="85"/>
    </row>
    <row r="579">
      <c r="H579" s="85"/>
    </row>
    <row r="580">
      <c r="H580" s="85"/>
    </row>
    <row r="581">
      <c r="H581" s="85"/>
    </row>
    <row r="582">
      <c r="H582" s="85"/>
    </row>
    <row r="583">
      <c r="H583" s="85"/>
    </row>
    <row r="584">
      <c r="H584" s="85"/>
    </row>
    <row r="585">
      <c r="H585" s="85"/>
    </row>
    <row r="586">
      <c r="H586" s="85"/>
    </row>
    <row r="587">
      <c r="H587" s="85"/>
    </row>
    <row r="588">
      <c r="H588" s="85"/>
    </row>
    <row r="589">
      <c r="H589" s="85"/>
    </row>
    <row r="590">
      <c r="H590" s="85"/>
    </row>
    <row r="591">
      <c r="H591" s="85"/>
    </row>
    <row r="592">
      <c r="H592" s="85"/>
    </row>
    <row r="593">
      <c r="H593" s="85"/>
    </row>
    <row r="594">
      <c r="H594" s="85"/>
    </row>
    <row r="595">
      <c r="H595" s="85"/>
    </row>
    <row r="596">
      <c r="H596" s="85"/>
    </row>
    <row r="597">
      <c r="H597" s="85"/>
    </row>
    <row r="598">
      <c r="H598" s="85"/>
    </row>
    <row r="599">
      <c r="H599" s="85"/>
    </row>
    <row r="600">
      <c r="H600" s="85"/>
    </row>
    <row r="601">
      <c r="H601" s="85"/>
    </row>
    <row r="602">
      <c r="H602" s="85"/>
    </row>
    <row r="603">
      <c r="H603" s="85"/>
    </row>
    <row r="604">
      <c r="H604" s="85"/>
    </row>
    <row r="605">
      <c r="H605" s="85"/>
    </row>
    <row r="606">
      <c r="H606" s="85"/>
    </row>
    <row r="607">
      <c r="H607" s="85"/>
    </row>
    <row r="608">
      <c r="H608" s="85"/>
    </row>
    <row r="609">
      <c r="H609" s="85"/>
    </row>
    <row r="610">
      <c r="H610" s="85"/>
    </row>
    <row r="611">
      <c r="H611" s="85"/>
    </row>
    <row r="612">
      <c r="H612" s="85"/>
    </row>
    <row r="613">
      <c r="H613" s="85"/>
    </row>
    <row r="614">
      <c r="H614" s="85"/>
    </row>
    <row r="615">
      <c r="H615" s="85"/>
    </row>
    <row r="616">
      <c r="H616" s="85"/>
    </row>
    <row r="617">
      <c r="H617" s="85"/>
    </row>
    <row r="618">
      <c r="H618" s="85"/>
    </row>
    <row r="619">
      <c r="H619" s="85"/>
    </row>
    <row r="620">
      <c r="H620" s="85"/>
    </row>
    <row r="621">
      <c r="H621" s="85"/>
    </row>
    <row r="622">
      <c r="H622" s="85"/>
    </row>
    <row r="623">
      <c r="H623" s="85"/>
    </row>
    <row r="624">
      <c r="H624" s="85"/>
    </row>
    <row r="625">
      <c r="H625" s="85"/>
    </row>
    <row r="626">
      <c r="H626" s="85"/>
    </row>
    <row r="627">
      <c r="H627" s="85"/>
    </row>
    <row r="628">
      <c r="H628" s="85"/>
    </row>
    <row r="629">
      <c r="H629" s="85"/>
    </row>
    <row r="630">
      <c r="H630" s="85"/>
    </row>
    <row r="631">
      <c r="H631" s="85"/>
    </row>
    <row r="632">
      <c r="H632" s="85"/>
    </row>
    <row r="633">
      <c r="H633" s="85"/>
    </row>
    <row r="634">
      <c r="H634" s="85"/>
    </row>
    <row r="635">
      <c r="H635" s="85"/>
    </row>
    <row r="636">
      <c r="H636" s="85"/>
    </row>
    <row r="637">
      <c r="H637" s="85"/>
    </row>
    <row r="638">
      <c r="H638" s="85"/>
    </row>
    <row r="639">
      <c r="H639" s="85"/>
    </row>
    <row r="640">
      <c r="H640" s="85"/>
    </row>
    <row r="641">
      <c r="H641" s="85"/>
    </row>
    <row r="642">
      <c r="H642" s="85"/>
    </row>
    <row r="643">
      <c r="H643" s="85"/>
    </row>
    <row r="644">
      <c r="H644" s="85"/>
    </row>
    <row r="645">
      <c r="H645" s="85"/>
    </row>
    <row r="646">
      <c r="H646" s="85"/>
    </row>
    <row r="647">
      <c r="H647" s="85"/>
    </row>
    <row r="648">
      <c r="H648" s="85"/>
    </row>
    <row r="649">
      <c r="H649" s="85"/>
    </row>
    <row r="650">
      <c r="H650" s="85"/>
    </row>
    <row r="651">
      <c r="H651" s="85"/>
    </row>
    <row r="652">
      <c r="H652" s="85"/>
    </row>
    <row r="653">
      <c r="H653" s="85"/>
    </row>
    <row r="654">
      <c r="H654" s="85"/>
    </row>
    <row r="655">
      <c r="H655" s="85"/>
    </row>
    <row r="656">
      <c r="H656" s="85"/>
    </row>
    <row r="657">
      <c r="H657" s="85"/>
    </row>
    <row r="658">
      <c r="H658" s="85"/>
    </row>
    <row r="659">
      <c r="H659" s="85"/>
    </row>
    <row r="660">
      <c r="H660" s="85"/>
    </row>
    <row r="661">
      <c r="H661" s="85"/>
    </row>
    <row r="662">
      <c r="H662" s="85"/>
    </row>
    <row r="663">
      <c r="H663" s="85"/>
    </row>
    <row r="664">
      <c r="H664" s="85"/>
    </row>
    <row r="665">
      <c r="H665" s="85"/>
    </row>
    <row r="666">
      <c r="H666" s="85"/>
    </row>
    <row r="667">
      <c r="H667" s="85"/>
    </row>
    <row r="668">
      <c r="H668" s="85"/>
    </row>
    <row r="669">
      <c r="H669" s="85"/>
    </row>
    <row r="670">
      <c r="H670" s="85"/>
    </row>
    <row r="671">
      <c r="H671" s="85"/>
    </row>
    <row r="672">
      <c r="H672" s="85"/>
    </row>
    <row r="673">
      <c r="H673" s="85"/>
    </row>
    <row r="674">
      <c r="H674" s="85"/>
    </row>
    <row r="675">
      <c r="H675" s="85"/>
    </row>
    <row r="676">
      <c r="H676" s="85"/>
    </row>
    <row r="677">
      <c r="H677" s="85"/>
    </row>
    <row r="678">
      <c r="H678" s="85"/>
    </row>
    <row r="679">
      <c r="H679" s="85"/>
    </row>
    <row r="680">
      <c r="H680" s="85"/>
    </row>
    <row r="681">
      <c r="H681" s="85"/>
    </row>
    <row r="682">
      <c r="H682" s="85"/>
    </row>
    <row r="683">
      <c r="H683" s="85"/>
    </row>
    <row r="684">
      <c r="H684" s="85"/>
    </row>
    <row r="685">
      <c r="H685" s="85"/>
    </row>
    <row r="686">
      <c r="H686" s="85"/>
    </row>
    <row r="687">
      <c r="H687" s="85"/>
    </row>
    <row r="688">
      <c r="H688" s="85"/>
    </row>
    <row r="689">
      <c r="H689" s="85"/>
    </row>
    <row r="690">
      <c r="H690" s="85"/>
    </row>
    <row r="691">
      <c r="H691" s="85"/>
    </row>
    <row r="692">
      <c r="H692" s="85"/>
    </row>
    <row r="693">
      <c r="H693" s="85"/>
    </row>
    <row r="694">
      <c r="H694" s="85"/>
    </row>
    <row r="695">
      <c r="H695" s="85"/>
    </row>
    <row r="696">
      <c r="H696" s="85"/>
    </row>
    <row r="697">
      <c r="H697" s="85"/>
    </row>
    <row r="698">
      <c r="H698" s="85"/>
    </row>
    <row r="699">
      <c r="H699" s="85"/>
    </row>
    <row r="700">
      <c r="H700" s="85"/>
    </row>
    <row r="701">
      <c r="H701" s="85"/>
    </row>
    <row r="702">
      <c r="H702" s="85"/>
    </row>
    <row r="703">
      <c r="H703" s="85"/>
    </row>
    <row r="704">
      <c r="H704" s="85"/>
    </row>
    <row r="705">
      <c r="H705" s="85"/>
    </row>
    <row r="706">
      <c r="H706" s="85"/>
    </row>
    <row r="707">
      <c r="H707" s="85"/>
    </row>
    <row r="708">
      <c r="H708" s="85"/>
    </row>
    <row r="709">
      <c r="H709" s="85"/>
    </row>
    <row r="710">
      <c r="H710" s="85"/>
    </row>
    <row r="711">
      <c r="H711" s="85"/>
    </row>
    <row r="712">
      <c r="H712" s="85"/>
    </row>
    <row r="713">
      <c r="H713" s="85"/>
    </row>
    <row r="714">
      <c r="H714" s="85"/>
    </row>
    <row r="715">
      <c r="H715" s="85"/>
    </row>
    <row r="716">
      <c r="H716" s="85"/>
    </row>
    <row r="717">
      <c r="H717" s="85"/>
    </row>
    <row r="718">
      <c r="H718" s="85"/>
    </row>
    <row r="719">
      <c r="H719" s="85"/>
    </row>
    <row r="720">
      <c r="H720" s="85"/>
    </row>
    <row r="721">
      <c r="H721" s="85"/>
    </row>
    <row r="722">
      <c r="H722" s="85"/>
    </row>
    <row r="723">
      <c r="H723" s="85"/>
    </row>
    <row r="724">
      <c r="H724" s="85"/>
    </row>
    <row r="725">
      <c r="H725" s="85"/>
    </row>
    <row r="726">
      <c r="H726" s="85"/>
    </row>
    <row r="727">
      <c r="H727" s="85"/>
    </row>
    <row r="728">
      <c r="H728" s="85"/>
    </row>
    <row r="729">
      <c r="H729" s="85"/>
    </row>
    <row r="730">
      <c r="H730" s="85"/>
    </row>
    <row r="731">
      <c r="H731" s="85"/>
    </row>
    <row r="732">
      <c r="H732" s="85"/>
    </row>
    <row r="733">
      <c r="H733" s="85"/>
    </row>
    <row r="734">
      <c r="H734" s="85"/>
    </row>
    <row r="735">
      <c r="H735" s="85"/>
    </row>
    <row r="736">
      <c r="H736" s="85"/>
    </row>
    <row r="737">
      <c r="H737" s="85"/>
    </row>
    <row r="738">
      <c r="H738" s="85"/>
    </row>
    <row r="739">
      <c r="H739" s="85"/>
    </row>
    <row r="740">
      <c r="H740" s="85"/>
    </row>
    <row r="741">
      <c r="H741" s="85"/>
    </row>
    <row r="742">
      <c r="H742" s="85"/>
    </row>
    <row r="743">
      <c r="H743" s="85"/>
    </row>
    <row r="744">
      <c r="H744" s="85"/>
    </row>
    <row r="745">
      <c r="H745" s="85"/>
    </row>
    <row r="746">
      <c r="H746" s="85"/>
    </row>
    <row r="747">
      <c r="H747" s="85"/>
    </row>
    <row r="748">
      <c r="H748" s="85"/>
    </row>
    <row r="749">
      <c r="H749" s="85"/>
    </row>
    <row r="750">
      <c r="H750" s="85"/>
    </row>
    <row r="751">
      <c r="H751" s="85"/>
    </row>
    <row r="752">
      <c r="H752" s="85"/>
    </row>
    <row r="753">
      <c r="H753" s="85"/>
    </row>
    <row r="754">
      <c r="H754" s="85"/>
    </row>
    <row r="755">
      <c r="H755" s="85"/>
    </row>
    <row r="756">
      <c r="H756" s="85"/>
    </row>
    <row r="757">
      <c r="H757" s="85"/>
    </row>
    <row r="758">
      <c r="H758" s="85"/>
    </row>
    <row r="759">
      <c r="H759" s="85"/>
    </row>
    <row r="760">
      <c r="H760" s="85"/>
    </row>
    <row r="761">
      <c r="H761" s="85"/>
    </row>
    <row r="762">
      <c r="H762" s="85"/>
    </row>
    <row r="763">
      <c r="H763" s="85"/>
    </row>
    <row r="764">
      <c r="H764" s="85"/>
    </row>
    <row r="765">
      <c r="H765" s="85"/>
    </row>
    <row r="766">
      <c r="H766" s="85"/>
    </row>
    <row r="767">
      <c r="H767" s="85"/>
    </row>
    <row r="768">
      <c r="H768" s="85"/>
    </row>
    <row r="769">
      <c r="H769" s="85"/>
    </row>
    <row r="770">
      <c r="H770" s="85"/>
    </row>
    <row r="771">
      <c r="H771" s="85"/>
    </row>
    <row r="772">
      <c r="H772" s="85"/>
    </row>
    <row r="773">
      <c r="H773" s="85"/>
    </row>
    <row r="774">
      <c r="H774" s="85"/>
    </row>
    <row r="775">
      <c r="H775" s="85"/>
    </row>
    <row r="776">
      <c r="H776" s="85"/>
    </row>
    <row r="777">
      <c r="H777" s="85"/>
    </row>
    <row r="778">
      <c r="H778" s="85"/>
    </row>
    <row r="779">
      <c r="H779" s="85"/>
    </row>
    <row r="780">
      <c r="H780" s="85"/>
    </row>
    <row r="781">
      <c r="H781" s="85"/>
    </row>
    <row r="782">
      <c r="H782" s="85"/>
    </row>
    <row r="783">
      <c r="H783" s="85"/>
    </row>
    <row r="784">
      <c r="H784" s="85"/>
    </row>
    <row r="785">
      <c r="H785" s="85"/>
    </row>
    <row r="786">
      <c r="H786" s="85"/>
    </row>
    <row r="787">
      <c r="H787" s="85"/>
    </row>
    <row r="788">
      <c r="H788" s="85"/>
    </row>
    <row r="789">
      <c r="H789" s="85"/>
    </row>
    <row r="790">
      <c r="H790" s="85"/>
    </row>
    <row r="791">
      <c r="H791" s="85"/>
    </row>
    <row r="792">
      <c r="H792" s="85"/>
    </row>
    <row r="793">
      <c r="H793" s="85"/>
    </row>
    <row r="794">
      <c r="H794" s="85"/>
    </row>
    <row r="795">
      <c r="H795" s="85"/>
    </row>
    <row r="796">
      <c r="H796" s="85"/>
    </row>
    <row r="797">
      <c r="H797" s="85"/>
    </row>
    <row r="798">
      <c r="H798" s="85"/>
    </row>
    <row r="799">
      <c r="H799" s="85"/>
    </row>
    <row r="800">
      <c r="H800" s="85"/>
    </row>
    <row r="801">
      <c r="H801" s="85"/>
    </row>
    <row r="802">
      <c r="H802" s="85"/>
    </row>
    <row r="803">
      <c r="H803" s="85"/>
    </row>
    <row r="804">
      <c r="H804" s="85"/>
    </row>
    <row r="805">
      <c r="H805" s="85"/>
    </row>
    <row r="806">
      <c r="H806" s="85"/>
    </row>
    <row r="807">
      <c r="H807" s="85"/>
    </row>
    <row r="808">
      <c r="H808" s="85"/>
    </row>
    <row r="809">
      <c r="H809" s="85"/>
    </row>
    <row r="810">
      <c r="H810" s="85"/>
    </row>
    <row r="811">
      <c r="H811" s="85"/>
    </row>
    <row r="812">
      <c r="H812" s="85"/>
    </row>
    <row r="813">
      <c r="H813" s="85"/>
    </row>
    <row r="814">
      <c r="H814" s="85"/>
    </row>
    <row r="815">
      <c r="H815" s="85"/>
    </row>
    <row r="816">
      <c r="H816" s="85"/>
    </row>
    <row r="817">
      <c r="H817" s="85"/>
    </row>
    <row r="818">
      <c r="H818" s="85"/>
    </row>
    <row r="819">
      <c r="H819" s="85"/>
    </row>
    <row r="820">
      <c r="H820" s="85"/>
    </row>
    <row r="821">
      <c r="H821" s="85"/>
    </row>
    <row r="822">
      <c r="H822" s="85"/>
    </row>
    <row r="823">
      <c r="H823" s="85"/>
    </row>
    <row r="824">
      <c r="H824" s="85"/>
    </row>
    <row r="825">
      <c r="H825" s="85"/>
    </row>
    <row r="826">
      <c r="H826" s="85"/>
    </row>
    <row r="827">
      <c r="H827" s="85"/>
    </row>
    <row r="828">
      <c r="H828" s="85"/>
    </row>
    <row r="829">
      <c r="H829" s="85"/>
    </row>
    <row r="830">
      <c r="H830" s="85"/>
    </row>
    <row r="831">
      <c r="H831" s="85"/>
    </row>
    <row r="832">
      <c r="H832" s="85"/>
    </row>
    <row r="833">
      <c r="H833" s="85"/>
    </row>
    <row r="834">
      <c r="H834" s="85"/>
    </row>
    <row r="835">
      <c r="H835" s="85"/>
    </row>
    <row r="836">
      <c r="H836" s="85"/>
    </row>
    <row r="837">
      <c r="H837" s="85"/>
    </row>
    <row r="838">
      <c r="H838" s="85"/>
    </row>
    <row r="839">
      <c r="H839" s="85"/>
    </row>
    <row r="840">
      <c r="H840" s="85"/>
    </row>
    <row r="841">
      <c r="H841" s="85"/>
    </row>
    <row r="842">
      <c r="H842" s="85"/>
    </row>
    <row r="843">
      <c r="H843" s="85"/>
    </row>
    <row r="844">
      <c r="H844" s="85"/>
    </row>
    <row r="845">
      <c r="H845" s="85"/>
    </row>
    <row r="846">
      <c r="H846" s="85"/>
    </row>
    <row r="847">
      <c r="H847" s="85"/>
    </row>
    <row r="848">
      <c r="H848" s="85"/>
    </row>
    <row r="849">
      <c r="H849" s="85"/>
    </row>
    <row r="850">
      <c r="H850" s="85"/>
    </row>
    <row r="851">
      <c r="H851" s="85"/>
    </row>
    <row r="852">
      <c r="H852" s="85"/>
    </row>
    <row r="853">
      <c r="H853" s="85"/>
    </row>
    <row r="854">
      <c r="H854" s="85"/>
    </row>
    <row r="855">
      <c r="H855" s="85"/>
    </row>
    <row r="856">
      <c r="H856" s="85"/>
    </row>
    <row r="857">
      <c r="H857" s="85"/>
    </row>
    <row r="858">
      <c r="H858" s="85"/>
    </row>
    <row r="859">
      <c r="H859" s="85"/>
    </row>
    <row r="860">
      <c r="H860" s="85"/>
    </row>
    <row r="861">
      <c r="H861" s="85"/>
    </row>
    <row r="862">
      <c r="H862" s="85"/>
    </row>
    <row r="863">
      <c r="H863" s="85"/>
    </row>
    <row r="864">
      <c r="H864" s="85"/>
    </row>
    <row r="865">
      <c r="H865" s="85"/>
    </row>
    <row r="866">
      <c r="H866" s="85"/>
    </row>
    <row r="867">
      <c r="H867" s="85"/>
    </row>
    <row r="868">
      <c r="H868" s="85"/>
    </row>
    <row r="869">
      <c r="H869" s="85"/>
    </row>
    <row r="870">
      <c r="H870" s="85"/>
    </row>
    <row r="871">
      <c r="H871" s="85"/>
    </row>
    <row r="872">
      <c r="H872" s="85"/>
    </row>
    <row r="873">
      <c r="H873" s="85"/>
    </row>
    <row r="874">
      <c r="H874" s="85"/>
    </row>
    <row r="875">
      <c r="H875" s="85"/>
    </row>
    <row r="876">
      <c r="H876" s="85"/>
    </row>
    <row r="877">
      <c r="H877" s="85"/>
    </row>
    <row r="878">
      <c r="H878" s="85"/>
    </row>
    <row r="879">
      <c r="H879" s="85"/>
    </row>
    <row r="880">
      <c r="H880" s="85"/>
    </row>
    <row r="881">
      <c r="H881" s="85"/>
    </row>
    <row r="882">
      <c r="H882" s="85"/>
    </row>
    <row r="883">
      <c r="H883" s="85"/>
    </row>
    <row r="884">
      <c r="H884" s="85"/>
    </row>
    <row r="885">
      <c r="H885" s="85"/>
    </row>
    <row r="886">
      <c r="H886" s="85"/>
    </row>
    <row r="887">
      <c r="H887" s="85"/>
    </row>
    <row r="888">
      <c r="H888" s="85"/>
    </row>
    <row r="889">
      <c r="H889" s="85"/>
    </row>
    <row r="890">
      <c r="H890" s="85"/>
    </row>
    <row r="891">
      <c r="H891" s="85"/>
    </row>
    <row r="892">
      <c r="H892" s="85"/>
    </row>
    <row r="893">
      <c r="H893" s="85"/>
    </row>
    <row r="894">
      <c r="H894" s="85"/>
    </row>
    <row r="895">
      <c r="H895" s="85"/>
    </row>
    <row r="896">
      <c r="H896" s="85"/>
    </row>
    <row r="897">
      <c r="H897" s="85"/>
    </row>
    <row r="898">
      <c r="H898" s="85"/>
    </row>
    <row r="899">
      <c r="H899" s="85"/>
    </row>
    <row r="900">
      <c r="H900" s="85"/>
    </row>
    <row r="901">
      <c r="H901" s="85"/>
    </row>
    <row r="902">
      <c r="H902" s="85"/>
    </row>
    <row r="903">
      <c r="H903" s="85"/>
    </row>
    <row r="904">
      <c r="H904" s="85"/>
    </row>
    <row r="905">
      <c r="H905" s="85"/>
    </row>
    <row r="906">
      <c r="H906" s="85"/>
    </row>
    <row r="907">
      <c r="H907" s="85"/>
    </row>
    <row r="908">
      <c r="H908" s="85"/>
    </row>
    <row r="909">
      <c r="H909" s="85"/>
    </row>
    <row r="910">
      <c r="H910" s="85"/>
    </row>
    <row r="911">
      <c r="H911" s="85"/>
    </row>
    <row r="912">
      <c r="H912" s="85"/>
    </row>
    <row r="913">
      <c r="H913" s="85"/>
    </row>
    <row r="914">
      <c r="H914" s="85"/>
    </row>
    <row r="915">
      <c r="H915" s="85"/>
    </row>
    <row r="916">
      <c r="H916" s="85"/>
    </row>
    <row r="917">
      <c r="H917" s="85"/>
    </row>
    <row r="918">
      <c r="H918" s="85"/>
    </row>
    <row r="919">
      <c r="H919" s="85"/>
    </row>
    <row r="920">
      <c r="H920" s="85"/>
    </row>
    <row r="921">
      <c r="H921" s="85"/>
    </row>
    <row r="922">
      <c r="H922" s="85"/>
    </row>
    <row r="923">
      <c r="H923" s="85"/>
    </row>
    <row r="924">
      <c r="H924" s="85"/>
    </row>
    <row r="925">
      <c r="H925" s="85"/>
    </row>
    <row r="926">
      <c r="H926" s="85"/>
    </row>
    <row r="927">
      <c r="H927" s="85"/>
    </row>
    <row r="928">
      <c r="H928" s="85"/>
    </row>
    <row r="929">
      <c r="H929" s="85"/>
    </row>
    <row r="930">
      <c r="H930" s="85"/>
    </row>
    <row r="931">
      <c r="H931" s="85"/>
    </row>
    <row r="932">
      <c r="H932" s="85"/>
    </row>
    <row r="933">
      <c r="H933" s="85"/>
    </row>
    <row r="934">
      <c r="H934" s="85"/>
    </row>
    <row r="935">
      <c r="H935" s="85"/>
    </row>
    <row r="936">
      <c r="H936" s="85"/>
    </row>
    <row r="937">
      <c r="H937" s="85"/>
    </row>
    <row r="938">
      <c r="H938" s="85"/>
    </row>
    <row r="939">
      <c r="H939" s="85"/>
    </row>
    <row r="940">
      <c r="H940" s="85"/>
    </row>
    <row r="941">
      <c r="H941" s="85"/>
    </row>
    <row r="942">
      <c r="H942" s="85"/>
    </row>
    <row r="943">
      <c r="H943" s="85"/>
    </row>
    <row r="944">
      <c r="H944" s="85"/>
    </row>
    <row r="945">
      <c r="H945" s="85"/>
    </row>
    <row r="946">
      <c r="H946" s="85"/>
    </row>
    <row r="947">
      <c r="H947" s="85"/>
    </row>
    <row r="948">
      <c r="H948" s="85"/>
    </row>
    <row r="949">
      <c r="H949" s="85"/>
    </row>
    <row r="950">
      <c r="H950" s="85"/>
    </row>
    <row r="951">
      <c r="H951" s="85"/>
    </row>
    <row r="952">
      <c r="H952" s="85"/>
    </row>
    <row r="953">
      <c r="H953" s="85"/>
    </row>
    <row r="954">
      <c r="H954" s="85"/>
    </row>
    <row r="955">
      <c r="H955" s="85"/>
    </row>
    <row r="956">
      <c r="H956" s="85"/>
    </row>
    <row r="957">
      <c r="H957" s="85"/>
    </row>
    <row r="958">
      <c r="H958" s="85"/>
    </row>
    <row r="959">
      <c r="H959" s="85"/>
    </row>
    <row r="960">
      <c r="H960" s="85"/>
    </row>
    <row r="961">
      <c r="H961" s="85"/>
    </row>
    <row r="962">
      <c r="H962" s="85"/>
    </row>
    <row r="963">
      <c r="H963" s="85"/>
    </row>
    <row r="964">
      <c r="H964" s="85"/>
    </row>
    <row r="965">
      <c r="H965" s="85"/>
    </row>
    <row r="966">
      <c r="H966" s="85"/>
    </row>
    <row r="967">
      <c r="H967" s="85"/>
    </row>
    <row r="968">
      <c r="H968" s="85"/>
    </row>
    <row r="969">
      <c r="H969" s="85"/>
    </row>
    <row r="970">
      <c r="H970" s="85"/>
    </row>
    <row r="971">
      <c r="H971" s="85"/>
    </row>
    <row r="972">
      <c r="H972" s="85"/>
    </row>
    <row r="973">
      <c r="H973" s="85"/>
    </row>
    <row r="974">
      <c r="H974" s="85"/>
    </row>
    <row r="975">
      <c r="H975" s="85"/>
    </row>
    <row r="976">
      <c r="H976" s="85"/>
    </row>
    <row r="977">
      <c r="H977" s="85"/>
    </row>
    <row r="978">
      <c r="H978" s="85"/>
    </row>
    <row r="979">
      <c r="H979" s="85"/>
    </row>
    <row r="980">
      <c r="H980" s="85"/>
    </row>
    <row r="981">
      <c r="H981" s="85"/>
    </row>
    <row r="982">
      <c r="H982" s="85"/>
    </row>
    <row r="983">
      <c r="H983" s="85"/>
    </row>
    <row r="984">
      <c r="H984" s="85"/>
    </row>
    <row r="985">
      <c r="H985" s="85"/>
    </row>
    <row r="986">
      <c r="H986" s="85"/>
    </row>
    <row r="987">
      <c r="H987" s="85"/>
    </row>
    <row r="988">
      <c r="H988" s="85"/>
    </row>
    <row r="989">
      <c r="H989" s="85"/>
    </row>
    <row r="990">
      <c r="H990" s="85"/>
    </row>
    <row r="991">
      <c r="H991" s="85"/>
    </row>
    <row r="992">
      <c r="H992" s="85"/>
    </row>
    <row r="993">
      <c r="H993" s="85"/>
    </row>
    <row r="994">
      <c r="H994" s="85"/>
    </row>
    <row r="995">
      <c r="H995" s="85"/>
    </row>
    <row r="996">
      <c r="H996" s="85"/>
    </row>
    <row r="997">
      <c r="H997" s="85"/>
    </row>
    <row r="998">
      <c r="H998" s="85"/>
    </row>
  </sheetData>
  <dataValidations>
    <dataValidation type="list" allowBlank="1" showErrorMessage="1" sqref="S1:S72">
      <formula1>"Released,Ongoing,pending"</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14.88"/>
    <col customWidth="1" min="3" max="3" width="18.75"/>
    <col customWidth="1" min="4" max="4" width="32.0"/>
    <col customWidth="1" min="5" max="5" width="35.0"/>
    <col customWidth="1" min="6" max="6" width="19.0"/>
    <col customWidth="1" min="7" max="7" width="66.63"/>
    <col customWidth="1" min="8" max="9" width="47.88"/>
    <col customWidth="1" min="10" max="10" width="15.25"/>
    <col customWidth="1" min="11" max="11" width="36.38"/>
    <col customWidth="1" min="12" max="12" width="17.0"/>
    <col customWidth="1" min="13" max="13" width="16.13"/>
    <col customWidth="1" min="14" max="14" width="13.38"/>
    <col customWidth="1" min="15" max="15" width="21.38"/>
    <col customWidth="1" min="16" max="17" width="24.75"/>
    <col customWidth="1" min="18" max="18" width="21.38"/>
  </cols>
  <sheetData>
    <row r="1">
      <c r="A1" s="86" t="s">
        <v>538</v>
      </c>
      <c r="B1" s="2" t="s">
        <v>1</v>
      </c>
      <c r="C1" s="2" t="s">
        <v>2</v>
      </c>
      <c r="D1" s="2" t="s">
        <v>3</v>
      </c>
      <c r="E1" s="2" t="s">
        <v>4</v>
      </c>
      <c r="F1" s="17" t="s">
        <v>336</v>
      </c>
      <c r="G1" s="2" t="s">
        <v>5</v>
      </c>
      <c r="H1" s="17" t="s">
        <v>34</v>
      </c>
      <c r="I1" s="2" t="s">
        <v>6</v>
      </c>
      <c r="J1" s="2" t="s">
        <v>7</v>
      </c>
      <c r="K1" s="2" t="s">
        <v>35</v>
      </c>
      <c r="L1" s="37" t="s">
        <v>9</v>
      </c>
      <c r="M1" s="37" t="s">
        <v>245</v>
      </c>
      <c r="N1" s="37" t="s">
        <v>246</v>
      </c>
      <c r="O1" s="17" t="s">
        <v>337</v>
      </c>
      <c r="P1" s="2" t="s">
        <v>12</v>
      </c>
      <c r="Q1" s="17" t="s">
        <v>338</v>
      </c>
      <c r="R1" s="2" t="s">
        <v>270</v>
      </c>
      <c r="S1" s="3" t="s">
        <v>15</v>
      </c>
    </row>
    <row r="2">
      <c r="A2" s="38">
        <f t="shared" ref="A2:A54" si="1">ROW(A2)-1</f>
        <v>1</v>
      </c>
      <c r="B2" s="21" t="s">
        <v>539</v>
      </c>
      <c r="C2" s="21">
        <v>6.32502877E8</v>
      </c>
      <c r="D2" s="21"/>
      <c r="E2" s="21" t="s">
        <v>540</v>
      </c>
      <c r="F2" s="21" t="s">
        <v>118</v>
      </c>
      <c r="G2" s="21" t="s">
        <v>18</v>
      </c>
      <c r="H2" s="21" t="s">
        <v>335</v>
      </c>
      <c r="I2" s="21" t="s">
        <v>264</v>
      </c>
      <c r="J2" s="21" t="s">
        <v>256</v>
      </c>
      <c r="L2" s="35">
        <v>45932.0</v>
      </c>
      <c r="M2" s="35">
        <f t="shared" ref="M2:M54" si="2">L2+11</f>
        <v>45943</v>
      </c>
      <c r="N2" s="31">
        <f t="shared" ref="N2:N54" si="3">L2+19</f>
        <v>45951</v>
      </c>
      <c r="O2" s="53">
        <v>45945.0</v>
      </c>
      <c r="P2" s="53">
        <v>45948.0</v>
      </c>
      <c r="S2" s="21" t="s">
        <v>23</v>
      </c>
    </row>
    <row r="3">
      <c r="A3" s="38">
        <f t="shared" si="1"/>
        <v>2</v>
      </c>
      <c r="B3" s="21" t="s">
        <v>541</v>
      </c>
      <c r="C3" s="21">
        <v>6.32502983E8</v>
      </c>
      <c r="D3" s="21"/>
      <c r="E3" s="21" t="s">
        <v>542</v>
      </c>
      <c r="F3" s="21" t="s">
        <v>543</v>
      </c>
      <c r="G3" s="21" t="s">
        <v>18</v>
      </c>
      <c r="H3" s="7" t="s">
        <v>126</v>
      </c>
      <c r="I3" s="21" t="s">
        <v>40</v>
      </c>
      <c r="J3" s="21" t="s">
        <v>30</v>
      </c>
      <c r="L3" s="35">
        <v>45938.0</v>
      </c>
      <c r="M3" s="35">
        <f t="shared" si="2"/>
        <v>45949</v>
      </c>
      <c r="N3" s="31">
        <f t="shared" si="3"/>
        <v>45957</v>
      </c>
      <c r="O3" s="53">
        <v>45948.0</v>
      </c>
      <c r="P3" s="53">
        <v>45962.0</v>
      </c>
      <c r="S3" s="21" t="s">
        <v>23</v>
      </c>
    </row>
    <row r="4">
      <c r="A4" s="38">
        <f t="shared" si="1"/>
        <v>3</v>
      </c>
      <c r="B4" s="21" t="s">
        <v>544</v>
      </c>
      <c r="C4" s="21">
        <v>6.32502984E8</v>
      </c>
      <c r="D4" s="21"/>
      <c r="E4" s="21" t="s">
        <v>545</v>
      </c>
      <c r="F4" s="21" t="s">
        <v>546</v>
      </c>
      <c r="G4" s="21" t="s">
        <v>18</v>
      </c>
      <c r="H4" s="7" t="s">
        <v>126</v>
      </c>
      <c r="I4" s="21" t="s">
        <v>40</v>
      </c>
      <c r="J4" s="21" t="s">
        <v>30</v>
      </c>
      <c r="L4" s="35">
        <v>45938.0</v>
      </c>
      <c r="M4" s="35">
        <f t="shared" si="2"/>
        <v>45949</v>
      </c>
      <c r="N4" s="31">
        <f t="shared" si="3"/>
        <v>45957</v>
      </c>
      <c r="O4" s="53">
        <v>45948.0</v>
      </c>
      <c r="P4" s="53">
        <v>45962.0</v>
      </c>
      <c r="S4" s="21" t="s">
        <v>23</v>
      </c>
    </row>
    <row r="5">
      <c r="A5" s="38">
        <f t="shared" si="1"/>
        <v>4</v>
      </c>
      <c r="B5" s="21" t="s">
        <v>547</v>
      </c>
      <c r="C5" s="21">
        <v>6.32502986E8</v>
      </c>
      <c r="D5" s="21"/>
      <c r="E5" s="21" t="s">
        <v>548</v>
      </c>
      <c r="F5" s="21" t="s">
        <v>549</v>
      </c>
      <c r="G5" s="21" t="s">
        <v>18</v>
      </c>
      <c r="H5" s="7" t="s">
        <v>126</v>
      </c>
      <c r="I5" s="21" t="s">
        <v>40</v>
      </c>
      <c r="J5" s="21" t="s">
        <v>30</v>
      </c>
      <c r="L5" s="35">
        <v>45938.0</v>
      </c>
      <c r="M5" s="35">
        <f t="shared" si="2"/>
        <v>45949</v>
      </c>
      <c r="N5" s="31">
        <f t="shared" si="3"/>
        <v>45957</v>
      </c>
      <c r="O5" s="53">
        <v>45948.0</v>
      </c>
      <c r="P5" s="53">
        <v>45962.0</v>
      </c>
      <c r="S5" s="21" t="s">
        <v>23</v>
      </c>
    </row>
    <row r="6">
      <c r="A6" s="38">
        <f t="shared" si="1"/>
        <v>5</v>
      </c>
      <c r="B6" s="21" t="s">
        <v>550</v>
      </c>
      <c r="C6" s="21">
        <v>6.32502987E8</v>
      </c>
      <c r="D6" s="21"/>
      <c r="E6" s="21" t="s">
        <v>551</v>
      </c>
      <c r="F6" s="21" t="s">
        <v>552</v>
      </c>
      <c r="G6" s="21" t="s">
        <v>18</v>
      </c>
      <c r="H6" s="7" t="s">
        <v>126</v>
      </c>
      <c r="I6" s="21" t="s">
        <v>40</v>
      </c>
      <c r="J6" s="21" t="s">
        <v>30</v>
      </c>
      <c r="L6" s="35">
        <v>45938.0</v>
      </c>
      <c r="M6" s="35">
        <f t="shared" si="2"/>
        <v>45949</v>
      </c>
      <c r="N6" s="31">
        <f t="shared" si="3"/>
        <v>45957</v>
      </c>
      <c r="O6" s="53">
        <v>45948.0</v>
      </c>
      <c r="P6" s="53">
        <v>45962.0</v>
      </c>
      <c r="S6" s="21" t="s">
        <v>23</v>
      </c>
    </row>
    <row r="7">
      <c r="A7" s="38">
        <f t="shared" si="1"/>
        <v>6</v>
      </c>
      <c r="B7" s="21" t="s">
        <v>553</v>
      </c>
      <c r="C7" s="21">
        <v>6.32502988E8</v>
      </c>
      <c r="D7" s="21"/>
      <c r="E7" s="21" t="s">
        <v>554</v>
      </c>
      <c r="F7" s="21" t="s">
        <v>555</v>
      </c>
      <c r="G7" s="21" t="s">
        <v>18</v>
      </c>
      <c r="H7" s="7" t="s">
        <v>126</v>
      </c>
      <c r="I7" s="21" t="s">
        <v>40</v>
      </c>
      <c r="J7" s="21" t="s">
        <v>30</v>
      </c>
      <c r="L7" s="35">
        <v>45938.0</v>
      </c>
      <c r="M7" s="35">
        <f t="shared" si="2"/>
        <v>45949</v>
      </c>
      <c r="N7" s="31">
        <f t="shared" si="3"/>
        <v>45957</v>
      </c>
      <c r="O7" s="53">
        <v>45948.0</v>
      </c>
      <c r="P7" s="53">
        <v>45962.0</v>
      </c>
      <c r="S7" s="21" t="s">
        <v>23</v>
      </c>
    </row>
    <row r="8">
      <c r="A8" s="38">
        <f t="shared" si="1"/>
        <v>7</v>
      </c>
      <c r="B8" s="21" t="s">
        <v>556</v>
      </c>
      <c r="C8" s="21">
        <v>6.32502985E8</v>
      </c>
      <c r="D8" s="21"/>
      <c r="E8" s="21" t="s">
        <v>557</v>
      </c>
      <c r="F8" s="21" t="s">
        <v>558</v>
      </c>
      <c r="G8" s="21" t="s">
        <v>18</v>
      </c>
      <c r="H8" s="7" t="s">
        <v>126</v>
      </c>
      <c r="I8" s="21" t="s">
        <v>40</v>
      </c>
      <c r="J8" s="21" t="s">
        <v>30</v>
      </c>
      <c r="L8" s="35">
        <v>45938.0</v>
      </c>
      <c r="M8" s="35">
        <f t="shared" si="2"/>
        <v>45949</v>
      </c>
      <c r="N8" s="31">
        <f t="shared" si="3"/>
        <v>45957</v>
      </c>
      <c r="O8" s="53">
        <v>45948.0</v>
      </c>
      <c r="P8" s="53">
        <v>45962.0</v>
      </c>
      <c r="S8" s="21" t="s">
        <v>23</v>
      </c>
    </row>
    <row r="9">
      <c r="A9" s="38">
        <f t="shared" si="1"/>
        <v>8</v>
      </c>
      <c r="B9" s="21" t="s">
        <v>559</v>
      </c>
      <c r="C9" s="21">
        <v>6.32502989E8</v>
      </c>
      <c r="D9" s="21"/>
      <c r="E9" s="21" t="s">
        <v>560</v>
      </c>
      <c r="F9" s="21" t="s">
        <v>561</v>
      </c>
      <c r="G9" s="21" t="s">
        <v>562</v>
      </c>
      <c r="H9" s="21" t="s">
        <v>330</v>
      </c>
      <c r="I9" s="21" t="s">
        <v>264</v>
      </c>
      <c r="J9" s="21" t="s">
        <v>256</v>
      </c>
      <c r="L9" s="35">
        <v>45938.0</v>
      </c>
      <c r="M9" s="35">
        <f t="shared" si="2"/>
        <v>45949</v>
      </c>
      <c r="N9" s="31">
        <f t="shared" si="3"/>
        <v>45957</v>
      </c>
      <c r="O9" s="53">
        <v>45948.0</v>
      </c>
      <c r="P9" s="53">
        <v>45961.0</v>
      </c>
      <c r="S9" s="21" t="s">
        <v>23</v>
      </c>
    </row>
    <row r="10">
      <c r="A10" s="38">
        <f t="shared" si="1"/>
        <v>9</v>
      </c>
      <c r="B10" s="87" t="s">
        <v>563</v>
      </c>
      <c r="C10" s="88">
        <v>6.32503169E8</v>
      </c>
      <c r="D10" s="89" t="s">
        <v>564</v>
      </c>
      <c r="E10" s="21" t="s">
        <v>565</v>
      </c>
      <c r="F10" s="21" t="s">
        <v>566</v>
      </c>
      <c r="G10" s="21" t="s">
        <v>562</v>
      </c>
      <c r="H10" s="25" t="s">
        <v>567</v>
      </c>
      <c r="I10" s="21" t="s">
        <v>264</v>
      </c>
      <c r="J10" s="21" t="s">
        <v>256</v>
      </c>
      <c r="L10" s="90">
        <v>45940.0</v>
      </c>
      <c r="M10" s="35">
        <f t="shared" si="2"/>
        <v>45951</v>
      </c>
      <c r="N10" s="31">
        <f t="shared" si="3"/>
        <v>45959</v>
      </c>
      <c r="O10" s="53">
        <v>45962.0</v>
      </c>
      <c r="P10" s="53">
        <v>45961.0</v>
      </c>
      <c r="S10" s="21" t="s">
        <v>23</v>
      </c>
    </row>
    <row r="11">
      <c r="A11" s="38">
        <f t="shared" si="1"/>
        <v>10</v>
      </c>
      <c r="B11" s="21" t="s">
        <v>568</v>
      </c>
      <c r="C11" s="21">
        <v>6.32503145E8</v>
      </c>
      <c r="E11" s="21" t="s">
        <v>569</v>
      </c>
      <c r="F11" s="21" t="s">
        <v>570</v>
      </c>
      <c r="G11" s="21" t="s">
        <v>18</v>
      </c>
      <c r="H11" s="7" t="s">
        <v>126</v>
      </c>
      <c r="I11" s="21" t="s">
        <v>40</v>
      </c>
      <c r="J11" s="21" t="s">
        <v>571</v>
      </c>
      <c r="L11" s="90">
        <v>45945.0</v>
      </c>
      <c r="M11" s="35">
        <f t="shared" si="2"/>
        <v>45956</v>
      </c>
      <c r="N11" s="31">
        <f t="shared" si="3"/>
        <v>45964</v>
      </c>
      <c r="O11" s="53">
        <v>45957.0</v>
      </c>
      <c r="P11" s="53">
        <v>45965.0</v>
      </c>
      <c r="S11" s="21" t="s">
        <v>23</v>
      </c>
    </row>
    <row r="12">
      <c r="A12" s="38">
        <f t="shared" si="1"/>
        <v>11</v>
      </c>
      <c r="B12" s="21" t="s">
        <v>572</v>
      </c>
      <c r="C12" s="21">
        <v>6.32503146E8</v>
      </c>
      <c r="E12" s="21" t="s">
        <v>573</v>
      </c>
      <c r="F12" s="21" t="s">
        <v>574</v>
      </c>
      <c r="G12" s="21" t="s">
        <v>18</v>
      </c>
      <c r="H12" s="7" t="s">
        <v>126</v>
      </c>
      <c r="I12" s="21" t="s">
        <v>40</v>
      </c>
      <c r="J12" s="21" t="s">
        <v>571</v>
      </c>
      <c r="L12" s="90">
        <v>45945.0</v>
      </c>
      <c r="M12" s="35">
        <f t="shared" si="2"/>
        <v>45956</v>
      </c>
      <c r="N12" s="31">
        <f t="shared" si="3"/>
        <v>45964</v>
      </c>
      <c r="O12" s="53">
        <v>45957.0</v>
      </c>
      <c r="P12" s="53">
        <v>45965.0</v>
      </c>
      <c r="S12" s="21" t="s">
        <v>23</v>
      </c>
    </row>
    <row r="13">
      <c r="A13" s="38">
        <f t="shared" si="1"/>
        <v>12</v>
      </c>
      <c r="B13" s="21" t="s">
        <v>575</v>
      </c>
      <c r="C13" s="21">
        <v>6.32503147E8</v>
      </c>
      <c r="E13" s="21" t="s">
        <v>576</v>
      </c>
      <c r="F13" s="21" t="s">
        <v>577</v>
      </c>
      <c r="G13" s="21" t="s">
        <v>18</v>
      </c>
      <c r="H13" s="7" t="s">
        <v>126</v>
      </c>
      <c r="I13" s="21" t="s">
        <v>40</v>
      </c>
      <c r="J13" s="21" t="s">
        <v>571</v>
      </c>
      <c r="L13" s="90">
        <v>45945.0</v>
      </c>
      <c r="M13" s="35">
        <f t="shared" si="2"/>
        <v>45956</v>
      </c>
      <c r="N13" s="31">
        <f t="shared" si="3"/>
        <v>45964</v>
      </c>
      <c r="O13" s="53">
        <v>45957.0</v>
      </c>
      <c r="P13" s="53">
        <v>45965.0</v>
      </c>
      <c r="S13" s="21" t="s">
        <v>23</v>
      </c>
    </row>
    <row r="14">
      <c r="A14" s="38">
        <f t="shared" si="1"/>
        <v>13</v>
      </c>
      <c r="B14" s="21" t="s">
        <v>578</v>
      </c>
      <c r="C14" s="21">
        <v>6.32503148E8</v>
      </c>
      <c r="E14" s="21" t="s">
        <v>579</v>
      </c>
      <c r="F14" s="21" t="s">
        <v>580</v>
      </c>
      <c r="G14" s="21" t="s">
        <v>18</v>
      </c>
      <c r="H14" s="7" t="s">
        <v>126</v>
      </c>
      <c r="I14" s="21" t="s">
        <v>40</v>
      </c>
      <c r="J14" s="21" t="s">
        <v>571</v>
      </c>
      <c r="L14" s="90">
        <v>45945.0</v>
      </c>
      <c r="M14" s="35">
        <f t="shared" si="2"/>
        <v>45956</v>
      </c>
      <c r="N14" s="31">
        <f t="shared" si="3"/>
        <v>45964</v>
      </c>
      <c r="O14" s="53">
        <v>45957.0</v>
      </c>
      <c r="P14" s="53">
        <v>45965.0</v>
      </c>
      <c r="S14" s="21" t="s">
        <v>23</v>
      </c>
    </row>
    <row r="15">
      <c r="A15" s="38">
        <f t="shared" si="1"/>
        <v>14</v>
      </c>
      <c r="B15" s="21" t="s">
        <v>581</v>
      </c>
      <c r="C15" s="21">
        <v>6.32503149E8</v>
      </c>
      <c r="E15" s="21" t="s">
        <v>582</v>
      </c>
      <c r="F15" s="21" t="s">
        <v>583</v>
      </c>
      <c r="G15" s="21" t="s">
        <v>18</v>
      </c>
      <c r="H15" s="7" t="s">
        <v>126</v>
      </c>
      <c r="I15" s="21" t="s">
        <v>40</v>
      </c>
      <c r="J15" s="21" t="s">
        <v>571</v>
      </c>
      <c r="L15" s="90">
        <v>45945.0</v>
      </c>
      <c r="M15" s="35">
        <f t="shared" si="2"/>
        <v>45956</v>
      </c>
      <c r="N15" s="31">
        <f t="shared" si="3"/>
        <v>45964</v>
      </c>
      <c r="O15" s="53">
        <v>45957.0</v>
      </c>
      <c r="P15" s="53">
        <v>45965.0</v>
      </c>
      <c r="S15" s="21" t="s">
        <v>23</v>
      </c>
    </row>
    <row r="16">
      <c r="A16" s="38">
        <f t="shared" si="1"/>
        <v>15</v>
      </c>
      <c r="B16" s="21" t="s">
        <v>584</v>
      </c>
      <c r="C16" s="21">
        <v>6.3250315E8</v>
      </c>
      <c r="E16" s="21" t="s">
        <v>585</v>
      </c>
      <c r="F16" s="21" t="s">
        <v>586</v>
      </c>
      <c r="G16" s="21" t="s">
        <v>18</v>
      </c>
      <c r="H16" s="7" t="s">
        <v>126</v>
      </c>
      <c r="I16" s="21" t="s">
        <v>40</v>
      </c>
      <c r="J16" s="21" t="s">
        <v>571</v>
      </c>
      <c r="L16" s="90">
        <v>45945.0</v>
      </c>
      <c r="M16" s="35">
        <f t="shared" si="2"/>
        <v>45956</v>
      </c>
      <c r="N16" s="31">
        <f t="shared" si="3"/>
        <v>45964</v>
      </c>
      <c r="O16" s="53">
        <v>45957.0</v>
      </c>
      <c r="P16" s="53">
        <v>45965.0</v>
      </c>
      <c r="S16" s="21" t="s">
        <v>23</v>
      </c>
    </row>
    <row r="17">
      <c r="A17" s="38">
        <f t="shared" si="1"/>
        <v>16</v>
      </c>
      <c r="B17" s="21" t="s">
        <v>587</v>
      </c>
      <c r="C17" s="21">
        <v>6.32503151E8</v>
      </c>
      <c r="E17" s="21" t="s">
        <v>588</v>
      </c>
      <c r="F17" s="21" t="s">
        <v>589</v>
      </c>
      <c r="G17" s="21" t="s">
        <v>18</v>
      </c>
      <c r="H17" s="7" t="s">
        <v>126</v>
      </c>
      <c r="I17" s="21" t="s">
        <v>40</v>
      </c>
      <c r="J17" s="21" t="s">
        <v>571</v>
      </c>
      <c r="L17" s="90">
        <v>45945.0</v>
      </c>
      <c r="M17" s="35">
        <f t="shared" si="2"/>
        <v>45956</v>
      </c>
      <c r="N17" s="31">
        <f t="shared" si="3"/>
        <v>45964</v>
      </c>
      <c r="O17" s="53">
        <v>45957.0</v>
      </c>
      <c r="P17" s="53">
        <v>45965.0</v>
      </c>
      <c r="S17" s="21" t="s">
        <v>23</v>
      </c>
    </row>
    <row r="18">
      <c r="A18" s="38">
        <f t="shared" si="1"/>
        <v>17</v>
      </c>
      <c r="B18" s="21" t="s">
        <v>590</v>
      </c>
      <c r="C18" s="21">
        <v>6.32503144E8</v>
      </c>
      <c r="E18" s="21" t="s">
        <v>591</v>
      </c>
      <c r="F18" s="21" t="s">
        <v>118</v>
      </c>
      <c r="G18" s="21" t="s">
        <v>18</v>
      </c>
      <c r="H18" s="21" t="s">
        <v>335</v>
      </c>
      <c r="I18" s="21" t="s">
        <v>264</v>
      </c>
      <c r="J18" s="21" t="s">
        <v>30</v>
      </c>
      <c r="L18" s="90">
        <v>45945.0</v>
      </c>
      <c r="M18" s="35">
        <f t="shared" si="2"/>
        <v>45956</v>
      </c>
      <c r="N18" s="31">
        <f t="shared" si="3"/>
        <v>45964</v>
      </c>
      <c r="O18" s="53">
        <v>45960.0</v>
      </c>
      <c r="P18" s="53">
        <v>45966.0</v>
      </c>
      <c r="S18" s="21" t="s">
        <v>23</v>
      </c>
    </row>
    <row r="19">
      <c r="A19" s="38">
        <f t="shared" si="1"/>
        <v>18</v>
      </c>
      <c r="B19" s="21" t="s">
        <v>592</v>
      </c>
      <c r="C19" s="21">
        <v>6.32503153E8</v>
      </c>
      <c r="E19" s="21" t="s">
        <v>593</v>
      </c>
      <c r="G19" s="21" t="s">
        <v>594</v>
      </c>
      <c r="H19" s="21" t="s">
        <v>273</v>
      </c>
      <c r="I19" s="21" t="s">
        <v>264</v>
      </c>
      <c r="J19" s="21" t="s">
        <v>30</v>
      </c>
      <c r="K19" s="21" t="s">
        <v>595</v>
      </c>
      <c r="L19" s="90">
        <v>45945.0</v>
      </c>
      <c r="M19" s="35">
        <f t="shared" si="2"/>
        <v>45956</v>
      </c>
      <c r="N19" s="31">
        <f t="shared" si="3"/>
        <v>45964</v>
      </c>
      <c r="O19" s="53">
        <v>45961.0</v>
      </c>
      <c r="P19" s="53">
        <v>45975.0</v>
      </c>
      <c r="S19" s="21" t="s">
        <v>23</v>
      </c>
    </row>
    <row r="20">
      <c r="A20" s="38">
        <f t="shared" si="1"/>
        <v>19</v>
      </c>
      <c r="B20" s="21" t="s">
        <v>596</v>
      </c>
      <c r="C20" s="21">
        <v>6.32503152E8</v>
      </c>
      <c r="E20" s="21" t="s">
        <v>597</v>
      </c>
      <c r="F20" s="21" t="s">
        <v>598</v>
      </c>
      <c r="G20" s="21" t="s">
        <v>594</v>
      </c>
      <c r="H20" s="21" t="s">
        <v>599</v>
      </c>
      <c r="I20" s="21" t="s">
        <v>264</v>
      </c>
      <c r="J20" s="21" t="s">
        <v>30</v>
      </c>
      <c r="L20" s="90">
        <v>45945.0</v>
      </c>
      <c r="M20" s="35">
        <f t="shared" si="2"/>
        <v>45956</v>
      </c>
      <c r="N20" s="31">
        <f t="shared" si="3"/>
        <v>45964</v>
      </c>
      <c r="O20" s="53">
        <v>45961.0</v>
      </c>
      <c r="P20" s="53">
        <v>45975.0</v>
      </c>
      <c r="S20" s="21" t="s">
        <v>23</v>
      </c>
    </row>
    <row r="21">
      <c r="A21" s="38">
        <f t="shared" si="1"/>
        <v>20</v>
      </c>
      <c r="B21" s="21" t="s">
        <v>600</v>
      </c>
      <c r="C21" s="21">
        <v>6.32503154E8</v>
      </c>
      <c r="E21" s="21" t="s">
        <v>601</v>
      </c>
      <c r="F21" s="21" t="s">
        <v>561</v>
      </c>
      <c r="G21" s="21" t="s">
        <v>594</v>
      </c>
      <c r="H21" s="21" t="s">
        <v>599</v>
      </c>
      <c r="I21" s="21" t="s">
        <v>264</v>
      </c>
      <c r="J21" s="21" t="s">
        <v>30</v>
      </c>
      <c r="K21" s="21" t="s">
        <v>602</v>
      </c>
      <c r="L21" s="90">
        <v>45945.0</v>
      </c>
      <c r="M21" s="35">
        <f t="shared" si="2"/>
        <v>45956</v>
      </c>
      <c r="N21" s="31">
        <f t="shared" si="3"/>
        <v>45964</v>
      </c>
      <c r="O21" s="53">
        <v>45961.0</v>
      </c>
      <c r="P21" s="53">
        <v>45975.0</v>
      </c>
      <c r="S21" s="21" t="s">
        <v>23</v>
      </c>
    </row>
    <row r="22">
      <c r="A22" s="38">
        <f t="shared" si="1"/>
        <v>21</v>
      </c>
      <c r="B22" s="21" t="s">
        <v>603</v>
      </c>
      <c r="C22" s="21">
        <v>6.32503155E8</v>
      </c>
      <c r="E22" s="21" t="s">
        <v>604</v>
      </c>
      <c r="G22" s="21" t="s">
        <v>594</v>
      </c>
      <c r="H22" s="21" t="s">
        <v>273</v>
      </c>
      <c r="I22" s="21" t="s">
        <v>264</v>
      </c>
      <c r="J22" s="21" t="s">
        <v>30</v>
      </c>
      <c r="L22" s="90">
        <v>45945.0</v>
      </c>
      <c r="M22" s="35">
        <f t="shared" si="2"/>
        <v>45956</v>
      </c>
      <c r="N22" s="31">
        <f t="shared" si="3"/>
        <v>45964</v>
      </c>
      <c r="O22" s="53">
        <v>45961.0</v>
      </c>
      <c r="P22" s="53">
        <v>45975.0</v>
      </c>
      <c r="S22" s="21" t="s">
        <v>23</v>
      </c>
    </row>
    <row r="23">
      <c r="A23" s="38">
        <f t="shared" si="1"/>
        <v>22</v>
      </c>
      <c r="B23" s="91" t="s">
        <v>605</v>
      </c>
      <c r="C23" s="92">
        <v>6.32503182E8</v>
      </c>
      <c r="E23" s="21" t="s">
        <v>606</v>
      </c>
      <c r="F23" s="21" t="s">
        <v>607</v>
      </c>
      <c r="G23" s="21" t="s">
        <v>18</v>
      </c>
      <c r="H23" s="21" t="s">
        <v>330</v>
      </c>
      <c r="I23" s="21" t="s">
        <v>264</v>
      </c>
      <c r="J23" s="21" t="s">
        <v>256</v>
      </c>
      <c r="K23" s="21" t="s">
        <v>608</v>
      </c>
      <c r="L23" s="90">
        <v>45948.0</v>
      </c>
      <c r="M23" s="35">
        <f t="shared" si="2"/>
        <v>45959</v>
      </c>
      <c r="N23" s="31">
        <f t="shared" si="3"/>
        <v>45967</v>
      </c>
      <c r="O23" s="53">
        <v>45968.0</v>
      </c>
      <c r="P23" s="53">
        <v>45969.0</v>
      </c>
      <c r="S23" s="21" t="s">
        <v>23</v>
      </c>
    </row>
    <row r="24">
      <c r="A24" s="38">
        <f t="shared" si="1"/>
        <v>23</v>
      </c>
      <c r="B24" s="57" t="s">
        <v>609</v>
      </c>
      <c r="C24" s="57">
        <v>6.32503257E8</v>
      </c>
      <c r="E24" s="21" t="s">
        <v>610</v>
      </c>
      <c r="F24" s="21" t="s">
        <v>611</v>
      </c>
      <c r="G24" s="21" t="s">
        <v>18</v>
      </c>
      <c r="H24" s="21" t="s">
        <v>335</v>
      </c>
      <c r="I24" s="21" t="s">
        <v>264</v>
      </c>
      <c r="J24" s="21" t="s">
        <v>256</v>
      </c>
      <c r="K24" s="21" t="s">
        <v>612</v>
      </c>
      <c r="L24" s="93">
        <v>45953.0</v>
      </c>
      <c r="M24" s="35">
        <f t="shared" si="2"/>
        <v>45964</v>
      </c>
      <c r="N24" s="31">
        <f t="shared" si="3"/>
        <v>45972</v>
      </c>
      <c r="O24" s="53">
        <v>45968.0</v>
      </c>
      <c r="P24" s="53">
        <v>45971.0</v>
      </c>
      <c r="S24" s="21" t="s">
        <v>23</v>
      </c>
    </row>
    <row r="25">
      <c r="A25" s="38">
        <f t="shared" si="1"/>
        <v>24</v>
      </c>
      <c r="B25" s="21" t="s">
        <v>613</v>
      </c>
      <c r="C25" s="21">
        <v>6.3250327E8</v>
      </c>
      <c r="D25" s="94" t="s">
        <v>614</v>
      </c>
      <c r="E25" s="21" t="s">
        <v>615</v>
      </c>
      <c r="F25" s="21" t="s">
        <v>558</v>
      </c>
      <c r="G25" s="21" t="s">
        <v>18</v>
      </c>
      <c r="H25" s="21" t="s">
        <v>273</v>
      </c>
      <c r="I25" s="21" t="s">
        <v>264</v>
      </c>
      <c r="J25" s="92" t="s">
        <v>359</v>
      </c>
      <c r="K25" s="41" t="s">
        <v>616</v>
      </c>
      <c r="L25" s="90">
        <v>45954.0</v>
      </c>
      <c r="M25" s="35">
        <f t="shared" si="2"/>
        <v>45965</v>
      </c>
      <c r="N25" s="31">
        <f t="shared" si="3"/>
        <v>45973</v>
      </c>
      <c r="O25" s="53">
        <v>45968.0</v>
      </c>
      <c r="P25" s="53">
        <v>45975.0</v>
      </c>
      <c r="S25" s="21" t="s">
        <v>23</v>
      </c>
    </row>
    <row r="26">
      <c r="A26" s="38">
        <f t="shared" si="1"/>
        <v>25</v>
      </c>
      <c r="B26" s="21" t="s">
        <v>617</v>
      </c>
      <c r="C26" s="21">
        <v>6.32503269E8</v>
      </c>
      <c r="D26" s="95"/>
      <c r="E26" s="21" t="s">
        <v>618</v>
      </c>
      <c r="F26" s="21" t="s">
        <v>589</v>
      </c>
      <c r="G26" s="21" t="s">
        <v>18</v>
      </c>
      <c r="H26" s="21" t="s">
        <v>273</v>
      </c>
      <c r="I26" s="21" t="s">
        <v>264</v>
      </c>
      <c r="J26" s="92" t="s">
        <v>359</v>
      </c>
      <c r="L26" s="90">
        <v>45954.0</v>
      </c>
      <c r="M26" s="35">
        <f t="shared" si="2"/>
        <v>45965</v>
      </c>
      <c r="N26" s="31">
        <f t="shared" si="3"/>
        <v>45973</v>
      </c>
      <c r="O26" s="53"/>
      <c r="P26" s="53">
        <v>45975.0</v>
      </c>
      <c r="S26" s="21" t="s">
        <v>23</v>
      </c>
    </row>
    <row r="27">
      <c r="A27" s="38">
        <f t="shared" si="1"/>
        <v>26</v>
      </c>
      <c r="B27" s="21" t="s">
        <v>619</v>
      </c>
      <c r="C27" s="21">
        <v>6.32503271E8</v>
      </c>
      <c r="D27" s="96"/>
      <c r="E27" s="21" t="s">
        <v>620</v>
      </c>
      <c r="F27" s="21" t="s">
        <v>566</v>
      </c>
      <c r="G27" s="21" t="s">
        <v>18</v>
      </c>
      <c r="H27" s="21" t="s">
        <v>273</v>
      </c>
      <c r="I27" s="21" t="s">
        <v>264</v>
      </c>
      <c r="J27" s="89" t="s">
        <v>359</v>
      </c>
      <c r="L27" s="90">
        <v>45954.0</v>
      </c>
      <c r="M27" s="35">
        <f t="shared" si="2"/>
        <v>45965</v>
      </c>
      <c r="N27" s="31">
        <f t="shared" si="3"/>
        <v>45973</v>
      </c>
      <c r="O27" s="53"/>
      <c r="P27" s="53">
        <v>45975.0</v>
      </c>
      <c r="S27" s="21" t="s">
        <v>23</v>
      </c>
    </row>
    <row r="28">
      <c r="A28" s="38">
        <f t="shared" si="1"/>
        <v>27</v>
      </c>
      <c r="B28" s="21" t="s">
        <v>621</v>
      </c>
      <c r="C28" s="21">
        <v>6.32503297E8</v>
      </c>
      <c r="E28" s="21" t="s">
        <v>622</v>
      </c>
      <c r="F28" s="21" t="s">
        <v>623</v>
      </c>
      <c r="G28" s="21" t="s">
        <v>624</v>
      </c>
      <c r="H28" s="21" t="s">
        <v>625</v>
      </c>
      <c r="I28" s="21" t="s">
        <v>626</v>
      </c>
      <c r="J28" s="21" t="s">
        <v>30</v>
      </c>
      <c r="K28" s="21" t="s">
        <v>627</v>
      </c>
      <c r="L28" s="90">
        <v>45956.0</v>
      </c>
      <c r="M28" s="35">
        <f t="shared" si="2"/>
        <v>45967</v>
      </c>
      <c r="N28" s="31">
        <f t="shared" si="3"/>
        <v>45975</v>
      </c>
      <c r="O28" s="53">
        <v>45938.0</v>
      </c>
      <c r="P28" s="53">
        <v>45975.0</v>
      </c>
      <c r="S28" s="21" t="s">
        <v>23</v>
      </c>
    </row>
    <row r="29">
      <c r="A29" s="38">
        <f t="shared" si="1"/>
        <v>28</v>
      </c>
      <c r="B29" s="21" t="s">
        <v>628</v>
      </c>
      <c r="C29" s="21">
        <v>6.32503274E8</v>
      </c>
      <c r="D29" s="21" t="s">
        <v>629</v>
      </c>
      <c r="E29" s="21" t="s">
        <v>630</v>
      </c>
      <c r="G29" s="21" t="s">
        <v>631</v>
      </c>
      <c r="H29" s="21" t="s">
        <v>273</v>
      </c>
      <c r="I29" s="21" t="s">
        <v>264</v>
      </c>
      <c r="J29" s="21" t="s">
        <v>632</v>
      </c>
      <c r="K29" s="41" t="s">
        <v>633</v>
      </c>
      <c r="L29" s="90">
        <v>45954.0</v>
      </c>
      <c r="M29" s="35">
        <f t="shared" si="2"/>
        <v>45965</v>
      </c>
      <c r="N29" s="31">
        <f t="shared" si="3"/>
        <v>45973</v>
      </c>
      <c r="O29" s="53" t="s">
        <v>634</v>
      </c>
      <c r="P29" s="53">
        <v>45968.0</v>
      </c>
      <c r="S29" s="21" t="s">
        <v>23</v>
      </c>
    </row>
    <row r="30">
      <c r="A30" s="38">
        <f t="shared" si="1"/>
        <v>29</v>
      </c>
      <c r="B30" s="21" t="s">
        <v>635</v>
      </c>
      <c r="C30" s="21">
        <v>6.3250334E8</v>
      </c>
      <c r="D30" s="21" t="s">
        <v>636</v>
      </c>
      <c r="E30" s="21" t="s">
        <v>637</v>
      </c>
      <c r="G30" s="97" t="s">
        <v>442</v>
      </c>
      <c r="H30" s="21" t="s">
        <v>335</v>
      </c>
      <c r="I30" s="21" t="s">
        <v>264</v>
      </c>
      <c r="J30" s="98" t="s">
        <v>638</v>
      </c>
      <c r="L30" s="99" t="s">
        <v>639</v>
      </c>
      <c r="M30" s="35">
        <f t="shared" si="2"/>
        <v>45969</v>
      </c>
      <c r="N30" s="31">
        <f t="shared" si="3"/>
        <v>45977</v>
      </c>
      <c r="O30" s="53" t="s">
        <v>634</v>
      </c>
      <c r="P30" s="53">
        <v>45969.0</v>
      </c>
      <c r="S30" s="21" t="s">
        <v>23</v>
      </c>
    </row>
    <row r="31">
      <c r="A31" s="38">
        <f t="shared" si="1"/>
        <v>30</v>
      </c>
      <c r="B31" s="21" t="s">
        <v>640</v>
      </c>
      <c r="C31" s="21">
        <v>6.3250335E8</v>
      </c>
      <c r="E31" s="21" t="s">
        <v>641</v>
      </c>
      <c r="G31" s="58" t="s">
        <v>18</v>
      </c>
      <c r="H31" s="21" t="s">
        <v>625</v>
      </c>
      <c r="I31" s="21" t="s">
        <v>626</v>
      </c>
      <c r="J31" s="49" t="s">
        <v>30</v>
      </c>
      <c r="L31" s="48" t="s">
        <v>642</v>
      </c>
      <c r="M31" s="35">
        <f t="shared" si="2"/>
        <v>45970</v>
      </c>
      <c r="N31" s="31">
        <f t="shared" si="3"/>
        <v>45978</v>
      </c>
      <c r="O31" s="53">
        <v>45938.0</v>
      </c>
      <c r="P31" s="53">
        <v>45979.0</v>
      </c>
      <c r="S31" s="21" t="s">
        <v>23</v>
      </c>
    </row>
    <row r="32">
      <c r="A32" s="38">
        <f t="shared" si="1"/>
        <v>31</v>
      </c>
      <c r="B32" s="21" t="s">
        <v>643</v>
      </c>
      <c r="C32" s="21">
        <v>6.32503341E8</v>
      </c>
      <c r="E32" s="21" t="s">
        <v>644</v>
      </c>
      <c r="G32" s="58" t="s">
        <v>18</v>
      </c>
      <c r="H32" s="7" t="s">
        <v>126</v>
      </c>
      <c r="I32" s="21" t="s">
        <v>40</v>
      </c>
      <c r="J32" s="49" t="s">
        <v>30</v>
      </c>
      <c r="L32" s="48" t="s">
        <v>642</v>
      </c>
      <c r="M32" s="35">
        <f t="shared" si="2"/>
        <v>45970</v>
      </c>
      <c r="N32" s="31">
        <f t="shared" si="3"/>
        <v>45978</v>
      </c>
      <c r="O32" s="53">
        <v>45975.0</v>
      </c>
      <c r="P32" s="53">
        <v>45981.0</v>
      </c>
      <c r="S32" s="21" t="s">
        <v>23</v>
      </c>
    </row>
    <row r="33">
      <c r="A33" s="38">
        <f t="shared" si="1"/>
        <v>32</v>
      </c>
      <c r="B33" s="21" t="s">
        <v>645</v>
      </c>
      <c r="C33" s="21">
        <v>6.32503342E8</v>
      </c>
      <c r="E33" s="21" t="s">
        <v>538</v>
      </c>
      <c r="G33" s="58" t="s">
        <v>18</v>
      </c>
      <c r="H33" s="7" t="s">
        <v>126</v>
      </c>
      <c r="I33" s="21" t="s">
        <v>40</v>
      </c>
      <c r="J33" s="49" t="s">
        <v>30</v>
      </c>
      <c r="L33" s="48" t="s">
        <v>642</v>
      </c>
      <c r="M33" s="35">
        <f t="shared" si="2"/>
        <v>45970</v>
      </c>
      <c r="N33" s="31">
        <f t="shared" si="3"/>
        <v>45978</v>
      </c>
      <c r="O33" s="53">
        <v>45975.0</v>
      </c>
      <c r="P33" s="53">
        <v>45981.0</v>
      </c>
      <c r="S33" s="21" t="s">
        <v>23</v>
      </c>
    </row>
    <row r="34">
      <c r="A34" s="38">
        <f t="shared" si="1"/>
        <v>33</v>
      </c>
      <c r="B34" s="21" t="s">
        <v>646</v>
      </c>
      <c r="C34" s="21">
        <v>6.32503343E8</v>
      </c>
      <c r="E34" s="21" t="s">
        <v>647</v>
      </c>
      <c r="G34" s="58" t="s">
        <v>18</v>
      </c>
      <c r="H34" s="7" t="s">
        <v>126</v>
      </c>
      <c r="I34" s="21" t="s">
        <v>40</v>
      </c>
      <c r="J34" s="49" t="s">
        <v>30</v>
      </c>
      <c r="L34" s="48" t="s">
        <v>642</v>
      </c>
      <c r="M34" s="35">
        <f t="shared" si="2"/>
        <v>45970</v>
      </c>
      <c r="N34" s="31">
        <f t="shared" si="3"/>
        <v>45978</v>
      </c>
      <c r="O34" s="53">
        <v>45975.0</v>
      </c>
      <c r="P34" s="53">
        <v>45981.0</v>
      </c>
      <c r="S34" s="21" t="s">
        <v>23</v>
      </c>
    </row>
    <row r="35">
      <c r="A35" s="38">
        <f t="shared" si="1"/>
        <v>34</v>
      </c>
      <c r="B35" s="21" t="s">
        <v>648</v>
      </c>
      <c r="C35" s="21">
        <v>6.32503344E8</v>
      </c>
      <c r="E35" s="21" t="s">
        <v>649</v>
      </c>
      <c r="G35" s="58" t="s">
        <v>18</v>
      </c>
      <c r="H35" s="7" t="s">
        <v>126</v>
      </c>
      <c r="I35" s="21" t="s">
        <v>40</v>
      </c>
      <c r="J35" s="49" t="s">
        <v>30</v>
      </c>
      <c r="L35" s="48" t="s">
        <v>642</v>
      </c>
      <c r="M35" s="35">
        <f t="shared" si="2"/>
        <v>45970</v>
      </c>
      <c r="N35" s="31">
        <f t="shared" si="3"/>
        <v>45978</v>
      </c>
      <c r="O35" s="53">
        <v>45975.0</v>
      </c>
      <c r="P35" s="53">
        <v>45981.0</v>
      </c>
      <c r="S35" s="21" t="s">
        <v>23</v>
      </c>
    </row>
    <row r="36">
      <c r="A36" s="38">
        <f t="shared" si="1"/>
        <v>35</v>
      </c>
      <c r="B36" s="21" t="s">
        <v>650</v>
      </c>
      <c r="C36" s="21">
        <v>6.32503345E8</v>
      </c>
      <c r="E36" s="21" t="s">
        <v>651</v>
      </c>
      <c r="G36" s="58" t="s">
        <v>18</v>
      </c>
      <c r="H36" s="7" t="s">
        <v>126</v>
      </c>
      <c r="I36" s="21" t="s">
        <v>40</v>
      </c>
      <c r="J36" s="49" t="s">
        <v>30</v>
      </c>
      <c r="L36" s="48" t="s">
        <v>642</v>
      </c>
      <c r="M36" s="35">
        <f t="shared" si="2"/>
        <v>45970</v>
      </c>
      <c r="N36" s="31">
        <f t="shared" si="3"/>
        <v>45978</v>
      </c>
      <c r="O36" s="53">
        <v>45975.0</v>
      </c>
      <c r="P36" s="53">
        <v>45981.0</v>
      </c>
      <c r="S36" s="21" t="s">
        <v>23</v>
      </c>
    </row>
    <row r="37">
      <c r="A37" s="38">
        <f t="shared" si="1"/>
        <v>36</v>
      </c>
      <c r="B37" s="46" t="s">
        <v>652</v>
      </c>
      <c r="E37" s="21" t="s">
        <v>653</v>
      </c>
      <c r="G37" s="58" t="s">
        <v>18</v>
      </c>
      <c r="H37" s="7" t="s">
        <v>126</v>
      </c>
      <c r="I37" s="21" t="s">
        <v>40</v>
      </c>
      <c r="J37" s="49" t="s">
        <v>30</v>
      </c>
      <c r="L37" s="48" t="s">
        <v>642</v>
      </c>
      <c r="M37" s="35">
        <f t="shared" si="2"/>
        <v>45970</v>
      </c>
      <c r="N37" s="31">
        <f t="shared" si="3"/>
        <v>45978</v>
      </c>
      <c r="O37" s="53">
        <v>45975.0</v>
      </c>
      <c r="P37" s="53">
        <v>45981.0</v>
      </c>
      <c r="S37" s="21" t="s">
        <v>23</v>
      </c>
    </row>
    <row r="38">
      <c r="A38" s="38">
        <f t="shared" si="1"/>
        <v>37</v>
      </c>
      <c r="B38" s="46" t="s">
        <v>654</v>
      </c>
      <c r="E38" s="21" t="s">
        <v>655</v>
      </c>
      <c r="G38" s="58" t="s">
        <v>18</v>
      </c>
      <c r="H38" s="7" t="s">
        <v>126</v>
      </c>
      <c r="I38" s="21" t="s">
        <v>40</v>
      </c>
      <c r="J38" s="49" t="s">
        <v>30</v>
      </c>
      <c r="L38" s="48" t="s">
        <v>642</v>
      </c>
      <c r="M38" s="35">
        <f t="shared" si="2"/>
        <v>45970</v>
      </c>
      <c r="N38" s="31">
        <f t="shared" si="3"/>
        <v>45978</v>
      </c>
      <c r="O38" s="53">
        <v>45975.0</v>
      </c>
      <c r="P38" s="53">
        <v>45981.0</v>
      </c>
      <c r="S38" s="21" t="s">
        <v>23</v>
      </c>
    </row>
    <row r="39">
      <c r="A39" s="38">
        <f t="shared" si="1"/>
        <v>38</v>
      </c>
      <c r="B39" s="46" t="s">
        <v>656</v>
      </c>
      <c r="E39" s="21" t="s">
        <v>657</v>
      </c>
      <c r="G39" s="58" t="s">
        <v>18</v>
      </c>
      <c r="H39" s="7" t="s">
        <v>126</v>
      </c>
      <c r="I39" s="21" t="s">
        <v>40</v>
      </c>
      <c r="J39" s="49" t="s">
        <v>30</v>
      </c>
      <c r="L39" s="48" t="s">
        <v>642</v>
      </c>
      <c r="M39" s="35">
        <f t="shared" si="2"/>
        <v>45970</v>
      </c>
      <c r="N39" s="31">
        <f t="shared" si="3"/>
        <v>45978</v>
      </c>
      <c r="O39" s="53">
        <v>45975.0</v>
      </c>
      <c r="P39" s="53">
        <v>45981.0</v>
      </c>
      <c r="S39" s="21" t="s">
        <v>23</v>
      </c>
    </row>
    <row r="40">
      <c r="A40" s="38">
        <f t="shared" si="1"/>
        <v>39</v>
      </c>
      <c r="B40" s="46" t="s">
        <v>658</v>
      </c>
      <c r="E40" s="21" t="s">
        <v>659</v>
      </c>
      <c r="G40" s="58" t="s">
        <v>18</v>
      </c>
      <c r="H40" s="7" t="s">
        <v>126</v>
      </c>
      <c r="I40" s="21" t="s">
        <v>40</v>
      </c>
      <c r="J40" s="49" t="s">
        <v>30</v>
      </c>
      <c r="L40" s="48" t="s">
        <v>642</v>
      </c>
      <c r="M40" s="35">
        <f t="shared" si="2"/>
        <v>45970</v>
      </c>
      <c r="N40" s="31">
        <f t="shared" si="3"/>
        <v>45978</v>
      </c>
      <c r="O40" s="53">
        <v>45975.0</v>
      </c>
      <c r="P40" s="53">
        <v>45981.0</v>
      </c>
      <c r="S40" s="21" t="s">
        <v>23</v>
      </c>
    </row>
    <row r="41">
      <c r="A41" s="38">
        <f t="shared" si="1"/>
        <v>40</v>
      </c>
      <c r="B41" s="46" t="s">
        <v>660</v>
      </c>
      <c r="E41" s="21" t="s">
        <v>661</v>
      </c>
      <c r="G41" s="58" t="s">
        <v>18</v>
      </c>
      <c r="H41" s="7" t="s">
        <v>126</v>
      </c>
      <c r="I41" s="21" t="s">
        <v>40</v>
      </c>
      <c r="J41" s="49" t="s">
        <v>30</v>
      </c>
      <c r="L41" s="48" t="s">
        <v>642</v>
      </c>
      <c r="M41" s="35">
        <f t="shared" si="2"/>
        <v>45970</v>
      </c>
      <c r="N41" s="31">
        <f t="shared" si="3"/>
        <v>45978</v>
      </c>
      <c r="O41" s="53">
        <v>45975.0</v>
      </c>
      <c r="P41" s="53">
        <v>45981.0</v>
      </c>
      <c r="S41" s="21" t="s">
        <v>23</v>
      </c>
    </row>
    <row r="42">
      <c r="A42" s="38">
        <f t="shared" si="1"/>
        <v>41</v>
      </c>
      <c r="B42" s="46" t="s">
        <v>662</v>
      </c>
      <c r="E42" s="21" t="s">
        <v>663</v>
      </c>
      <c r="G42" s="58" t="s">
        <v>18</v>
      </c>
      <c r="H42" s="7" t="s">
        <v>126</v>
      </c>
      <c r="I42" s="21" t="s">
        <v>40</v>
      </c>
      <c r="J42" s="49" t="s">
        <v>30</v>
      </c>
      <c r="L42" s="48" t="s">
        <v>642</v>
      </c>
      <c r="M42" s="35">
        <f t="shared" si="2"/>
        <v>45970</v>
      </c>
      <c r="N42" s="31">
        <f t="shared" si="3"/>
        <v>45978</v>
      </c>
      <c r="O42" s="53">
        <v>45975.0</v>
      </c>
      <c r="P42" s="53">
        <v>45981.0</v>
      </c>
      <c r="S42" s="21" t="s">
        <v>23</v>
      </c>
    </row>
    <row r="43">
      <c r="A43" s="38">
        <f t="shared" si="1"/>
        <v>42</v>
      </c>
      <c r="B43" s="46" t="s">
        <v>664</v>
      </c>
      <c r="E43" s="21" t="s">
        <v>665</v>
      </c>
      <c r="G43" s="58" t="s">
        <v>18</v>
      </c>
      <c r="H43" s="7" t="s">
        <v>126</v>
      </c>
      <c r="I43" s="21" t="s">
        <v>40</v>
      </c>
      <c r="J43" s="49" t="s">
        <v>30</v>
      </c>
      <c r="L43" s="48" t="s">
        <v>642</v>
      </c>
      <c r="M43" s="35">
        <f t="shared" si="2"/>
        <v>45970</v>
      </c>
      <c r="N43" s="31">
        <f t="shared" si="3"/>
        <v>45978</v>
      </c>
      <c r="O43" s="53">
        <v>45975.0</v>
      </c>
      <c r="P43" s="53">
        <v>45981.0</v>
      </c>
      <c r="S43" s="21" t="s">
        <v>23</v>
      </c>
    </row>
    <row r="44">
      <c r="A44" s="38">
        <f t="shared" si="1"/>
        <v>43</v>
      </c>
      <c r="B44" s="46" t="s">
        <v>666</v>
      </c>
      <c r="E44" s="21" t="s">
        <v>667</v>
      </c>
      <c r="G44" s="58" t="s">
        <v>18</v>
      </c>
      <c r="H44" s="7" t="s">
        <v>126</v>
      </c>
      <c r="I44" s="21" t="s">
        <v>40</v>
      </c>
      <c r="J44" s="49" t="s">
        <v>30</v>
      </c>
      <c r="L44" s="48" t="s">
        <v>642</v>
      </c>
      <c r="M44" s="35">
        <f t="shared" si="2"/>
        <v>45970</v>
      </c>
      <c r="N44" s="31">
        <f t="shared" si="3"/>
        <v>45978</v>
      </c>
      <c r="O44" s="53">
        <v>45975.0</v>
      </c>
      <c r="P44" s="53">
        <v>45981.0</v>
      </c>
      <c r="S44" s="21" t="s">
        <v>23</v>
      </c>
    </row>
    <row r="45">
      <c r="A45" s="38">
        <f t="shared" si="1"/>
        <v>44</v>
      </c>
      <c r="B45" s="46" t="s">
        <v>668</v>
      </c>
      <c r="E45" s="21" t="s">
        <v>669</v>
      </c>
      <c r="G45" s="58" t="s">
        <v>18</v>
      </c>
      <c r="H45" s="7" t="s">
        <v>126</v>
      </c>
      <c r="I45" s="21" t="s">
        <v>40</v>
      </c>
      <c r="J45" s="49" t="s">
        <v>30</v>
      </c>
      <c r="L45" s="48" t="s">
        <v>642</v>
      </c>
      <c r="M45" s="35">
        <f t="shared" si="2"/>
        <v>45970</v>
      </c>
      <c r="N45" s="31">
        <f t="shared" si="3"/>
        <v>45978</v>
      </c>
      <c r="O45" s="53">
        <v>45975.0</v>
      </c>
      <c r="P45" s="53">
        <v>45981.0</v>
      </c>
      <c r="S45" s="21" t="s">
        <v>23</v>
      </c>
    </row>
    <row r="46">
      <c r="A46" s="38">
        <f t="shared" si="1"/>
        <v>45</v>
      </c>
      <c r="B46" s="46" t="s">
        <v>670</v>
      </c>
      <c r="E46" s="21" t="s">
        <v>671</v>
      </c>
      <c r="G46" s="58" t="s">
        <v>18</v>
      </c>
      <c r="H46" s="7" t="s">
        <v>126</v>
      </c>
      <c r="I46" s="21" t="s">
        <v>40</v>
      </c>
      <c r="J46" s="49" t="s">
        <v>30</v>
      </c>
      <c r="L46" s="48" t="s">
        <v>642</v>
      </c>
      <c r="M46" s="35">
        <f t="shared" si="2"/>
        <v>45970</v>
      </c>
      <c r="N46" s="31">
        <f t="shared" si="3"/>
        <v>45978</v>
      </c>
      <c r="O46" s="53">
        <v>45975.0</v>
      </c>
      <c r="P46" s="53">
        <v>45981.0</v>
      </c>
      <c r="S46" s="21" t="s">
        <v>23</v>
      </c>
    </row>
    <row r="47">
      <c r="A47" s="38">
        <f t="shared" si="1"/>
        <v>46</v>
      </c>
      <c r="B47" s="46" t="s">
        <v>672</v>
      </c>
      <c r="E47" s="21" t="s">
        <v>673</v>
      </c>
      <c r="G47" s="58" t="s">
        <v>18</v>
      </c>
      <c r="H47" s="7" t="s">
        <v>126</v>
      </c>
      <c r="I47" s="21" t="s">
        <v>40</v>
      </c>
      <c r="J47" s="49" t="s">
        <v>30</v>
      </c>
      <c r="L47" s="48" t="s">
        <v>642</v>
      </c>
      <c r="M47" s="35">
        <f t="shared" si="2"/>
        <v>45970</v>
      </c>
      <c r="N47" s="31">
        <f t="shared" si="3"/>
        <v>45978</v>
      </c>
      <c r="O47" s="53">
        <v>45975.0</v>
      </c>
      <c r="P47" s="53">
        <v>45981.0</v>
      </c>
      <c r="S47" s="21" t="s">
        <v>23</v>
      </c>
    </row>
    <row r="48">
      <c r="A48" s="38">
        <f t="shared" si="1"/>
        <v>47</v>
      </c>
      <c r="B48" s="46" t="s">
        <v>674</v>
      </c>
      <c r="E48" s="21" t="s">
        <v>675</v>
      </c>
      <c r="G48" s="58" t="s">
        <v>18</v>
      </c>
      <c r="H48" s="7" t="s">
        <v>126</v>
      </c>
      <c r="I48" s="21" t="s">
        <v>40</v>
      </c>
      <c r="J48" s="49" t="s">
        <v>30</v>
      </c>
      <c r="L48" s="48" t="s">
        <v>642</v>
      </c>
      <c r="M48" s="35">
        <f t="shared" si="2"/>
        <v>45970</v>
      </c>
      <c r="N48" s="31">
        <f t="shared" si="3"/>
        <v>45978</v>
      </c>
      <c r="O48" s="53">
        <v>45975.0</v>
      </c>
      <c r="P48" s="53">
        <v>45981.0</v>
      </c>
      <c r="S48" s="21" t="s">
        <v>23</v>
      </c>
    </row>
    <row r="49">
      <c r="A49" s="38">
        <f t="shared" si="1"/>
        <v>48</v>
      </c>
      <c r="B49" s="46" t="s">
        <v>676</v>
      </c>
      <c r="E49" s="21" t="s">
        <v>677</v>
      </c>
      <c r="G49" s="58" t="s">
        <v>18</v>
      </c>
      <c r="H49" s="7" t="s">
        <v>126</v>
      </c>
      <c r="I49" s="21" t="s">
        <v>40</v>
      </c>
      <c r="J49" s="49" t="s">
        <v>30</v>
      </c>
      <c r="L49" s="48" t="s">
        <v>642</v>
      </c>
      <c r="M49" s="35">
        <f t="shared" si="2"/>
        <v>45970</v>
      </c>
      <c r="N49" s="31">
        <f t="shared" si="3"/>
        <v>45978</v>
      </c>
      <c r="O49" s="53">
        <v>45975.0</v>
      </c>
      <c r="P49" s="53">
        <v>45981.0</v>
      </c>
      <c r="S49" s="21" t="s">
        <v>23</v>
      </c>
    </row>
    <row r="50">
      <c r="A50" s="38">
        <f t="shared" si="1"/>
        <v>49</v>
      </c>
      <c r="B50" s="46" t="s">
        <v>678</v>
      </c>
      <c r="E50" s="21" t="s">
        <v>679</v>
      </c>
      <c r="G50" s="58" t="s">
        <v>18</v>
      </c>
      <c r="H50" s="7" t="s">
        <v>126</v>
      </c>
      <c r="I50" s="21" t="s">
        <v>40</v>
      </c>
      <c r="J50" s="49" t="s">
        <v>30</v>
      </c>
      <c r="L50" s="48" t="s">
        <v>642</v>
      </c>
      <c r="M50" s="35">
        <f t="shared" si="2"/>
        <v>45970</v>
      </c>
      <c r="N50" s="31">
        <f t="shared" si="3"/>
        <v>45978</v>
      </c>
      <c r="O50" s="53">
        <v>45975.0</v>
      </c>
      <c r="P50" s="53">
        <v>45981.0</v>
      </c>
      <c r="S50" s="21" t="s">
        <v>23</v>
      </c>
    </row>
    <row r="51">
      <c r="A51" s="38">
        <f t="shared" si="1"/>
        <v>50</v>
      </c>
      <c r="B51" s="46" t="s">
        <v>680</v>
      </c>
      <c r="E51" s="21" t="s">
        <v>681</v>
      </c>
      <c r="G51" s="58" t="s">
        <v>18</v>
      </c>
      <c r="H51" s="7" t="s">
        <v>126</v>
      </c>
      <c r="I51" s="21" t="s">
        <v>40</v>
      </c>
      <c r="J51" s="49" t="s">
        <v>30</v>
      </c>
      <c r="L51" s="48" t="s">
        <v>642</v>
      </c>
      <c r="M51" s="35">
        <f t="shared" si="2"/>
        <v>45970</v>
      </c>
      <c r="N51" s="31">
        <f t="shared" si="3"/>
        <v>45978</v>
      </c>
      <c r="O51" s="53">
        <v>45975.0</v>
      </c>
      <c r="P51" s="53">
        <v>45981.0</v>
      </c>
      <c r="S51" s="21" t="s">
        <v>23</v>
      </c>
    </row>
    <row r="52">
      <c r="A52" s="38">
        <f t="shared" si="1"/>
        <v>51</v>
      </c>
      <c r="B52" s="100" t="s">
        <v>682</v>
      </c>
      <c r="E52" s="21" t="s">
        <v>683</v>
      </c>
      <c r="G52" s="58" t="s">
        <v>18</v>
      </c>
      <c r="H52" s="25" t="s">
        <v>273</v>
      </c>
      <c r="I52" s="21" t="s">
        <v>684</v>
      </c>
      <c r="J52" s="49" t="s">
        <v>30</v>
      </c>
      <c r="L52" s="48" t="s">
        <v>642</v>
      </c>
      <c r="M52" s="35">
        <f t="shared" si="2"/>
        <v>45970</v>
      </c>
      <c r="N52" s="31">
        <f t="shared" si="3"/>
        <v>45978</v>
      </c>
      <c r="O52" s="53">
        <v>45979.0</v>
      </c>
      <c r="P52" s="53">
        <v>45979.0</v>
      </c>
      <c r="S52" s="21" t="s">
        <v>23</v>
      </c>
    </row>
    <row r="53">
      <c r="A53" s="38">
        <f t="shared" si="1"/>
        <v>52</v>
      </c>
      <c r="B53" s="101" t="s">
        <v>685</v>
      </c>
      <c r="E53" s="21" t="s">
        <v>686</v>
      </c>
      <c r="G53" s="58" t="s">
        <v>18</v>
      </c>
      <c r="H53" s="25" t="s">
        <v>273</v>
      </c>
      <c r="I53" s="21" t="s">
        <v>684</v>
      </c>
      <c r="J53" s="49" t="s">
        <v>30</v>
      </c>
      <c r="L53" s="48" t="s">
        <v>642</v>
      </c>
      <c r="M53" s="35">
        <f t="shared" si="2"/>
        <v>45970</v>
      </c>
      <c r="N53" s="31">
        <f t="shared" si="3"/>
        <v>45978</v>
      </c>
      <c r="O53" s="53">
        <v>45979.0</v>
      </c>
      <c r="P53" s="53">
        <v>45979.0</v>
      </c>
      <c r="S53" s="21" t="s">
        <v>23</v>
      </c>
    </row>
    <row r="54">
      <c r="A54" s="38">
        <f t="shared" si="1"/>
        <v>53</v>
      </c>
      <c r="B54" s="21" t="s">
        <v>687</v>
      </c>
      <c r="C54" s="21">
        <v>6.32503366E8</v>
      </c>
      <c r="D54" s="21" t="s">
        <v>688</v>
      </c>
      <c r="E54" s="21" t="s">
        <v>689</v>
      </c>
      <c r="G54" s="102" t="s">
        <v>18</v>
      </c>
      <c r="H54" s="21" t="s">
        <v>335</v>
      </c>
      <c r="I54" s="21" t="s">
        <v>684</v>
      </c>
      <c r="J54" s="89" t="s">
        <v>359</v>
      </c>
      <c r="L54" s="48" t="s">
        <v>642</v>
      </c>
      <c r="M54" s="35">
        <f t="shared" si="2"/>
        <v>45970</v>
      </c>
      <c r="N54" s="31">
        <f t="shared" si="3"/>
        <v>45978</v>
      </c>
      <c r="O54" s="53">
        <v>45975.0</v>
      </c>
      <c r="P54" s="53">
        <v>45980.0</v>
      </c>
      <c r="S54" s="21" t="s">
        <v>23</v>
      </c>
    </row>
  </sheetData>
  <mergeCells count="2">
    <mergeCell ref="D25:D27"/>
    <mergeCell ref="K25:K27"/>
  </mergeCells>
  <dataValidations>
    <dataValidation type="list" allowBlank="1" showErrorMessage="1" sqref="S1:S54">
      <formula1>"Released,Ongoing,Pending"</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25"/>
    <col customWidth="1" min="3" max="3" width="18.75"/>
    <col customWidth="1" min="4" max="4" width="19.25"/>
    <col customWidth="1" min="5" max="5" width="40.75"/>
    <col customWidth="1" min="6" max="6" width="14.25"/>
    <col customWidth="1" min="7" max="7" width="27.75"/>
    <col customWidth="1" min="8" max="9" width="59.38"/>
    <col customWidth="1" min="10" max="10" width="15.25"/>
    <col customWidth="1" min="12" max="12" width="17.0"/>
    <col customWidth="1" min="13" max="13" width="22.25"/>
    <col customWidth="1" min="14" max="14" width="13.38"/>
    <col customWidth="1" min="15" max="15" width="16.63"/>
    <col customWidth="1" min="16" max="16" width="24.75"/>
    <col customWidth="1" min="17" max="17" width="18.63"/>
    <col customWidth="1" min="18" max="18" width="21.38"/>
  </cols>
  <sheetData>
    <row r="1">
      <c r="A1" s="2" t="s">
        <v>0</v>
      </c>
      <c r="B1" s="2" t="s">
        <v>1</v>
      </c>
      <c r="C1" s="2" t="s">
        <v>2</v>
      </c>
      <c r="D1" s="2" t="s">
        <v>3</v>
      </c>
      <c r="E1" s="2" t="s">
        <v>4</v>
      </c>
      <c r="F1" s="17" t="s">
        <v>336</v>
      </c>
      <c r="G1" s="2" t="s">
        <v>5</v>
      </c>
      <c r="H1" s="17" t="s">
        <v>34</v>
      </c>
      <c r="I1" s="2" t="s">
        <v>6</v>
      </c>
      <c r="J1" s="2" t="s">
        <v>7</v>
      </c>
      <c r="K1" s="2" t="s">
        <v>35</v>
      </c>
      <c r="L1" s="37" t="s">
        <v>9</v>
      </c>
      <c r="M1" s="37" t="s">
        <v>245</v>
      </c>
      <c r="N1" s="37" t="s">
        <v>246</v>
      </c>
      <c r="O1" s="17" t="s">
        <v>337</v>
      </c>
      <c r="P1" s="2" t="s">
        <v>12</v>
      </c>
      <c r="Q1" s="17" t="s">
        <v>338</v>
      </c>
      <c r="R1" s="2" t="s">
        <v>270</v>
      </c>
      <c r="S1" s="3" t="s">
        <v>15</v>
      </c>
    </row>
    <row r="2">
      <c r="A2" s="38">
        <f t="shared" ref="A2:A78" si="1">row(A2)-1</f>
        <v>1</v>
      </c>
      <c r="B2" s="49" t="s">
        <v>690</v>
      </c>
      <c r="C2" s="49">
        <v>6.32503921E8</v>
      </c>
      <c r="E2" s="49" t="s">
        <v>691</v>
      </c>
      <c r="G2" s="49" t="s">
        <v>18</v>
      </c>
      <c r="H2" s="7" t="s">
        <v>126</v>
      </c>
      <c r="I2" s="49" t="s">
        <v>40</v>
      </c>
      <c r="J2" s="57" t="s">
        <v>571</v>
      </c>
      <c r="L2" s="103">
        <v>45994.0</v>
      </c>
      <c r="M2" s="35">
        <f t="shared" ref="M2:M10" si="2">L2+11</f>
        <v>46005</v>
      </c>
      <c r="N2" s="31">
        <f t="shared" ref="N2:N79" si="3">L2+19</f>
        <v>46013</v>
      </c>
      <c r="O2" s="53">
        <v>46007.0</v>
      </c>
      <c r="P2" s="54">
        <v>46015.0</v>
      </c>
      <c r="S2" s="21" t="s">
        <v>23</v>
      </c>
    </row>
    <row r="3">
      <c r="A3" s="38">
        <f t="shared" si="1"/>
        <v>2</v>
      </c>
      <c r="B3" s="49" t="s">
        <v>692</v>
      </c>
      <c r="C3" s="49">
        <v>6.32503922E8</v>
      </c>
      <c r="E3" s="49" t="s">
        <v>693</v>
      </c>
      <c r="G3" s="49" t="s">
        <v>18</v>
      </c>
      <c r="H3" s="7" t="s">
        <v>126</v>
      </c>
      <c r="I3" s="49" t="s">
        <v>40</v>
      </c>
      <c r="J3" s="57" t="s">
        <v>571</v>
      </c>
      <c r="L3" s="103">
        <v>45994.0</v>
      </c>
      <c r="M3" s="35">
        <f t="shared" si="2"/>
        <v>46005</v>
      </c>
      <c r="N3" s="31">
        <f t="shared" si="3"/>
        <v>46013</v>
      </c>
      <c r="O3" s="53">
        <v>46007.0</v>
      </c>
      <c r="P3" s="54">
        <v>46015.0</v>
      </c>
      <c r="S3" s="21" t="s">
        <v>23</v>
      </c>
    </row>
    <row r="4">
      <c r="A4" s="38">
        <f t="shared" si="1"/>
        <v>3</v>
      </c>
      <c r="B4" s="49" t="s">
        <v>694</v>
      </c>
      <c r="C4" s="49">
        <v>6.32503923E8</v>
      </c>
      <c r="E4" s="49" t="s">
        <v>695</v>
      </c>
      <c r="G4" s="49" t="s">
        <v>18</v>
      </c>
      <c r="H4" s="7" t="s">
        <v>126</v>
      </c>
      <c r="I4" s="49" t="s">
        <v>40</v>
      </c>
      <c r="J4" s="57" t="s">
        <v>571</v>
      </c>
      <c r="L4" s="103">
        <v>45994.0</v>
      </c>
      <c r="M4" s="35">
        <f t="shared" si="2"/>
        <v>46005</v>
      </c>
      <c r="N4" s="31">
        <f t="shared" si="3"/>
        <v>46013</v>
      </c>
      <c r="O4" s="53">
        <v>46007.0</v>
      </c>
      <c r="P4" s="54">
        <v>46015.0</v>
      </c>
      <c r="S4" s="21" t="s">
        <v>23</v>
      </c>
    </row>
    <row r="5">
      <c r="A5" s="38">
        <f t="shared" si="1"/>
        <v>4</v>
      </c>
      <c r="B5" s="49" t="s">
        <v>696</v>
      </c>
      <c r="C5" s="49">
        <v>6.32503924E8</v>
      </c>
      <c r="E5" s="49" t="s">
        <v>697</v>
      </c>
      <c r="G5" s="49" t="s">
        <v>18</v>
      </c>
      <c r="H5" s="7" t="s">
        <v>126</v>
      </c>
      <c r="I5" s="49" t="s">
        <v>40</v>
      </c>
      <c r="J5" s="57" t="s">
        <v>571</v>
      </c>
      <c r="L5" s="103">
        <v>45994.0</v>
      </c>
      <c r="M5" s="35">
        <f t="shared" si="2"/>
        <v>46005</v>
      </c>
      <c r="N5" s="31">
        <f t="shared" si="3"/>
        <v>46013</v>
      </c>
      <c r="O5" s="53">
        <v>46007.0</v>
      </c>
      <c r="P5" s="54">
        <v>46015.0</v>
      </c>
      <c r="S5" s="21" t="s">
        <v>23</v>
      </c>
    </row>
    <row r="6">
      <c r="A6" s="38">
        <f t="shared" si="1"/>
        <v>5</v>
      </c>
      <c r="B6" s="49" t="s">
        <v>698</v>
      </c>
      <c r="C6" s="49">
        <v>6.32503925E8</v>
      </c>
      <c r="E6" s="49" t="s">
        <v>699</v>
      </c>
      <c r="G6" s="49" t="s">
        <v>18</v>
      </c>
      <c r="H6" s="55" t="s">
        <v>367</v>
      </c>
      <c r="I6" s="49" t="s">
        <v>40</v>
      </c>
      <c r="J6" s="57" t="s">
        <v>571</v>
      </c>
      <c r="L6" s="103">
        <v>45994.0</v>
      </c>
      <c r="M6" s="35">
        <f t="shared" si="2"/>
        <v>46005</v>
      </c>
      <c r="N6" s="31">
        <f t="shared" si="3"/>
        <v>46013</v>
      </c>
      <c r="O6" s="53">
        <v>46007.0</v>
      </c>
      <c r="P6" s="54">
        <v>46014.0</v>
      </c>
      <c r="S6" s="21" t="s">
        <v>23</v>
      </c>
    </row>
    <row r="7">
      <c r="A7" s="38">
        <f t="shared" si="1"/>
        <v>6</v>
      </c>
      <c r="B7" s="48" t="s">
        <v>700</v>
      </c>
      <c r="C7" s="48">
        <v>6.32503926E8</v>
      </c>
      <c r="E7" s="49" t="s">
        <v>701</v>
      </c>
      <c r="G7" s="49" t="s">
        <v>18</v>
      </c>
      <c r="H7" s="55" t="s">
        <v>367</v>
      </c>
      <c r="I7" s="49" t="s">
        <v>40</v>
      </c>
      <c r="J7" s="57" t="s">
        <v>571</v>
      </c>
      <c r="L7" s="103">
        <v>45994.0</v>
      </c>
      <c r="M7" s="35">
        <f t="shared" si="2"/>
        <v>46005</v>
      </c>
      <c r="N7" s="31">
        <f t="shared" si="3"/>
        <v>46013</v>
      </c>
      <c r="O7" s="53">
        <v>46007.0</v>
      </c>
      <c r="P7" s="54">
        <v>46014.0</v>
      </c>
      <c r="S7" s="21" t="s">
        <v>23</v>
      </c>
    </row>
    <row r="8">
      <c r="A8" s="38">
        <f t="shared" si="1"/>
        <v>7</v>
      </c>
      <c r="B8" s="104"/>
      <c r="C8" s="104"/>
      <c r="E8" s="49" t="s">
        <v>702</v>
      </c>
      <c r="G8" s="49" t="s">
        <v>18</v>
      </c>
      <c r="H8" s="55" t="s">
        <v>367</v>
      </c>
      <c r="I8" s="49" t="s">
        <v>40</v>
      </c>
      <c r="J8" s="57" t="s">
        <v>571</v>
      </c>
      <c r="L8" s="103">
        <v>45994.0</v>
      </c>
      <c r="M8" s="35">
        <f t="shared" si="2"/>
        <v>46005</v>
      </c>
      <c r="N8" s="31">
        <f t="shared" si="3"/>
        <v>46013</v>
      </c>
      <c r="O8" s="53">
        <v>46007.0</v>
      </c>
      <c r="P8" s="54">
        <v>46014.0</v>
      </c>
      <c r="S8" s="21" t="s">
        <v>23</v>
      </c>
    </row>
    <row r="9">
      <c r="A9" s="38">
        <f t="shared" si="1"/>
        <v>8</v>
      </c>
      <c r="B9" s="48" t="s">
        <v>703</v>
      </c>
      <c r="C9" s="48">
        <v>6.32503927E8</v>
      </c>
      <c r="E9" s="49" t="s">
        <v>704</v>
      </c>
      <c r="G9" s="49" t="s">
        <v>18</v>
      </c>
      <c r="H9" s="55" t="s">
        <v>367</v>
      </c>
      <c r="I9" s="49" t="s">
        <v>40</v>
      </c>
      <c r="J9" s="57" t="s">
        <v>571</v>
      </c>
      <c r="L9" s="103">
        <v>45994.0</v>
      </c>
      <c r="M9" s="35">
        <f t="shared" si="2"/>
        <v>46005</v>
      </c>
      <c r="N9" s="31">
        <f t="shared" si="3"/>
        <v>46013</v>
      </c>
      <c r="O9" s="53">
        <v>46007.0</v>
      </c>
      <c r="P9" s="54">
        <v>46014.0</v>
      </c>
      <c r="S9" s="21" t="s">
        <v>23</v>
      </c>
    </row>
    <row r="10">
      <c r="A10" s="38">
        <f t="shared" si="1"/>
        <v>9</v>
      </c>
      <c r="B10" s="49" t="s">
        <v>705</v>
      </c>
      <c r="C10" s="49">
        <v>6.32503928E8</v>
      </c>
      <c r="E10" s="49" t="s">
        <v>706</v>
      </c>
      <c r="G10" s="49" t="s">
        <v>18</v>
      </c>
      <c r="H10" s="55" t="s">
        <v>367</v>
      </c>
      <c r="I10" s="49" t="s">
        <v>40</v>
      </c>
      <c r="J10" s="57" t="s">
        <v>571</v>
      </c>
      <c r="L10" s="103">
        <v>45994.0</v>
      </c>
      <c r="M10" s="35">
        <f t="shared" si="2"/>
        <v>46005</v>
      </c>
      <c r="N10" s="31">
        <f t="shared" si="3"/>
        <v>46013</v>
      </c>
      <c r="O10" s="53">
        <v>46007.0</v>
      </c>
      <c r="P10" s="54">
        <v>46014.0</v>
      </c>
      <c r="S10" s="21" t="s">
        <v>23</v>
      </c>
    </row>
    <row r="11">
      <c r="A11" s="38">
        <f t="shared" si="1"/>
        <v>10</v>
      </c>
      <c r="B11" s="104"/>
      <c r="C11" s="104"/>
      <c r="E11" s="49" t="s">
        <v>707</v>
      </c>
      <c r="G11" s="49" t="s">
        <v>18</v>
      </c>
      <c r="H11" s="55" t="s">
        <v>367</v>
      </c>
      <c r="I11" s="49" t="s">
        <v>40</v>
      </c>
      <c r="J11" s="57" t="s">
        <v>571</v>
      </c>
      <c r="L11" s="103">
        <v>45994.0</v>
      </c>
      <c r="M11" s="35">
        <f>L12+11</f>
        <v>46008</v>
      </c>
      <c r="N11" s="31">
        <f t="shared" si="3"/>
        <v>46013</v>
      </c>
      <c r="O11" s="53">
        <v>46007.0</v>
      </c>
      <c r="P11" s="54">
        <v>46014.0</v>
      </c>
      <c r="S11" s="21" t="s">
        <v>23</v>
      </c>
    </row>
    <row r="12">
      <c r="A12" s="38">
        <f t="shared" si="1"/>
        <v>11</v>
      </c>
      <c r="B12" s="48" t="s">
        <v>708</v>
      </c>
      <c r="C12" s="48">
        <v>6.32503965E8</v>
      </c>
      <c r="D12" s="48" t="s">
        <v>709</v>
      </c>
      <c r="E12" s="49" t="s">
        <v>710</v>
      </c>
      <c r="G12" s="49" t="s">
        <v>18</v>
      </c>
      <c r="H12" s="55" t="s">
        <v>335</v>
      </c>
      <c r="I12" s="50" t="s">
        <v>358</v>
      </c>
      <c r="J12" s="48" t="s">
        <v>359</v>
      </c>
      <c r="L12" s="103">
        <v>45997.0</v>
      </c>
      <c r="N12" s="31">
        <f t="shared" si="3"/>
        <v>46016</v>
      </c>
      <c r="O12" s="53">
        <v>46011.0</v>
      </c>
      <c r="P12" s="53">
        <v>46020.0</v>
      </c>
      <c r="S12" s="21" t="s">
        <v>23</v>
      </c>
    </row>
    <row r="13">
      <c r="A13" s="38">
        <f t="shared" si="1"/>
        <v>12</v>
      </c>
      <c r="B13" s="49" t="s">
        <v>711</v>
      </c>
      <c r="C13" s="49">
        <v>6.32503955E8</v>
      </c>
      <c r="D13" s="48" t="s">
        <v>709</v>
      </c>
      <c r="E13" s="49" t="s">
        <v>712</v>
      </c>
      <c r="G13" s="49" t="s">
        <v>18</v>
      </c>
      <c r="H13" s="7" t="s">
        <v>126</v>
      </c>
      <c r="I13" s="49" t="s">
        <v>40</v>
      </c>
      <c r="J13" s="49" t="s">
        <v>30</v>
      </c>
      <c r="L13" s="103">
        <v>45997.0</v>
      </c>
      <c r="M13" s="35">
        <f t="shared" ref="M13:M79" si="4">L13+11</f>
        <v>46008</v>
      </c>
      <c r="N13" s="31">
        <f t="shared" si="3"/>
        <v>46016</v>
      </c>
      <c r="O13" s="53">
        <v>46009.0</v>
      </c>
      <c r="P13" s="40">
        <v>46023.0</v>
      </c>
      <c r="S13" s="21" t="s">
        <v>23</v>
      </c>
    </row>
    <row r="14">
      <c r="A14" s="38">
        <f t="shared" si="1"/>
        <v>13</v>
      </c>
      <c r="B14" s="49" t="s">
        <v>713</v>
      </c>
      <c r="C14" s="49">
        <v>6.32503956E8</v>
      </c>
      <c r="D14" s="48" t="s">
        <v>709</v>
      </c>
      <c r="E14" s="49" t="s">
        <v>714</v>
      </c>
      <c r="G14" s="49" t="s">
        <v>18</v>
      </c>
      <c r="H14" s="7" t="s">
        <v>126</v>
      </c>
      <c r="I14" s="49" t="s">
        <v>40</v>
      </c>
      <c r="J14" s="49" t="s">
        <v>30</v>
      </c>
      <c r="L14" s="103">
        <v>45997.0</v>
      </c>
      <c r="M14" s="35">
        <f t="shared" si="4"/>
        <v>46008</v>
      </c>
      <c r="N14" s="31">
        <f t="shared" si="3"/>
        <v>46016</v>
      </c>
      <c r="O14" s="53">
        <v>46009.0</v>
      </c>
      <c r="P14" s="40">
        <v>46023.0</v>
      </c>
      <c r="S14" s="21" t="s">
        <v>23</v>
      </c>
    </row>
    <row r="15">
      <c r="A15" s="38">
        <f t="shared" si="1"/>
        <v>14</v>
      </c>
      <c r="B15" s="49" t="s">
        <v>715</v>
      </c>
      <c r="C15" s="49">
        <v>6.32503957E8</v>
      </c>
      <c r="D15" s="48" t="s">
        <v>709</v>
      </c>
      <c r="E15" s="49" t="s">
        <v>716</v>
      </c>
      <c r="G15" s="49" t="s">
        <v>18</v>
      </c>
      <c r="H15" s="7" t="s">
        <v>126</v>
      </c>
      <c r="I15" s="49" t="s">
        <v>40</v>
      </c>
      <c r="J15" s="49" t="s">
        <v>30</v>
      </c>
      <c r="L15" s="103">
        <v>45997.0</v>
      </c>
      <c r="M15" s="35">
        <f t="shared" si="4"/>
        <v>46008</v>
      </c>
      <c r="N15" s="31">
        <f t="shared" si="3"/>
        <v>46016</v>
      </c>
      <c r="O15" s="53">
        <v>46009.0</v>
      </c>
      <c r="P15" s="40">
        <v>46023.0</v>
      </c>
      <c r="S15" s="21" t="s">
        <v>23</v>
      </c>
    </row>
    <row r="16">
      <c r="A16" s="38">
        <f t="shared" si="1"/>
        <v>15</v>
      </c>
      <c r="B16" s="49" t="s">
        <v>717</v>
      </c>
      <c r="C16" s="49">
        <v>6.32503958E8</v>
      </c>
      <c r="D16" s="48" t="s">
        <v>709</v>
      </c>
      <c r="E16" s="49" t="s">
        <v>718</v>
      </c>
      <c r="G16" s="49" t="s">
        <v>18</v>
      </c>
      <c r="H16" s="7" t="s">
        <v>126</v>
      </c>
      <c r="I16" s="49" t="s">
        <v>40</v>
      </c>
      <c r="J16" s="49" t="s">
        <v>30</v>
      </c>
      <c r="L16" s="103">
        <v>45997.0</v>
      </c>
      <c r="M16" s="35">
        <f t="shared" si="4"/>
        <v>46008</v>
      </c>
      <c r="N16" s="31">
        <f t="shared" si="3"/>
        <v>46016</v>
      </c>
      <c r="O16" s="53">
        <v>46009.0</v>
      </c>
      <c r="P16" s="40">
        <v>46023.0</v>
      </c>
      <c r="S16" s="21" t="s">
        <v>23</v>
      </c>
    </row>
    <row r="17">
      <c r="A17" s="38">
        <f t="shared" si="1"/>
        <v>16</v>
      </c>
      <c r="B17" s="49" t="s">
        <v>719</v>
      </c>
      <c r="C17" s="49">
        <v>6.32503961E8</v>
      </c>
      <c r="D17" s="48" t="s">
        <v>709</v>
      </c>
      <c r="E17" s="58" t="s">
        <v>720</v>
      </c>
      <c r="G17" s="58" t="s">
        <v>18</v>
      </c>
      <c r="H17" s="55" t="s">
        <v>367</v>
      </c>
      <c r="I17" s="58" t="s">
        <v>40</v>
      </c>
      <c r="J17" s="49" t="s">
        <v>30</v>
      </c>
      <c r="L17" s="103">
        <v>45997.0</v>
      </c>
      <c r="M17" s="35">
        <f t="shared" si="4"/>
        <v>46008</v>
      </c>
      <c r="N17" s="31">
        <f t="shared" si="3"/>
        <v>46016</v>
      </c>
      <c r="O17" s="53">
        <v>46009.0</v>
      </c>
      <c r="P17" s="53">
        <v>46021.0</v>
      </c>
      <c r="S17" s="21" t="s">
        <v>23</v>
      </c>
    </row>
    <row r="18">
      <c r="A18" s="38">
        <f t="shared" si="1"/>
        <v>17</v>
      </c>
      <c r="B18" s="49" t="s">
        <v>721</v>
      </c>
      <c r="C18" s="49">
        <v>6.32503962E8</v>
      </c>
      <c r="D18" s="48" t="s">
        <v>709</v>
      </c>
      <c r="E18" s="58" t="s">
        <v>722</v>
      </c>
      <c r="G18" s="58" t="s">
        <v>18</v>
      </c>
      <c r="H18" s="55" t="s">
        <v>367</v>
      </c>
      <c r="I18" s="58" t="s">
        <v>40</v>
      </c>
      <c r="J18" s="49" t="s">
        <v>30</v>
      </c>
      <c r="L18" s="103">
        <v>45997.0</v>
      </c>
      <c r="M18" s="35">
        <f t="shared" si="4"/>
        <v>46008</v>
      </c>
      <c r="N18" s="31">
        <f t="shared" si="3"/>
        <v>46016</v>
      </c>
      <c r="O18" s="53">
        <v>46009.0</v>
      </c>
      <c r="P18" s="53">
        <v>46021.0</v>
      </c>
      <c r="S18" s="21" t="s">
        <v>23</v>
      </c>
    </row>
    <row r="19">
      <c r="A19" s="38">
        <f t="shared" si="1"/>
        <v>18</v>
      </c>
      <c r="B19" s="49" t="s">
        <v>723</v>
      </c>
      <c r="C19" s="49">
        <v>6.32503963E8</v>
      </c>
      <c r="D19" s="48" t="s">
        <v>709</v>
      </c>
      <c r="E19" s="58" t="s">
        <v>724</v>
      </c>
      <c r="G19" s="58" t="s">
        <v>18</v>
      </c>
      <c r="H19" s="55" t="s">
        <v>367</v>
      </c>
      <c r="I19" s="58" t="s">
        <v>40</v>
      </c>
      <c r="J19" s="49" t="s">
        <v>30</v>
      </c>
      <c r="L19" s="103">
        <v>45997.0</v>
      </c>
      <c r="M19" s="35">
        <f t="shared" si="4"/>
        <v>46008</v>
      </c>
      <c r="N19" s="31">
        <f t="shared" si="3"/>
        <v>46016</v>
      </c>
      <c r="O19" s="53">
        <v>46009.0</v>
      </c>
      <c r="P19" s="53">
        <v>46021.0</v>
      </c>
      <c r="S19" s="21" t="s">
        <v>23</v>
      </c>
    </row>
    <row r="20">
      <c r="A20" s="38">
        <f t="shared" si="1"/>
        <v>19</v>
      </c>
      <c r="B20" s="48" t="s">
        <v>725</v>
      </c>
      <c r="C20" s="48">
        <v>6.3250401E8</v>
      </c>
      <c r="D20" s="104"/>
      <c r="E20" s="49" t="s">
        <v>726</v>
      </c>
      <c r="G20" s="49" t="s">
        <v>18</v>
      </c>
      <c r="H20" s="7" t="s">
        <v>126</v>
      </c>
      <c r="I20" s="49" t="s">
        <v>40</v>
      </c>
      <c r="J20" s="48" t="s">
        <v>571</v>
      </c>
      <c r="L20" s="103">
        <v>46000.0</v>
      </c>
      <c r="M20" s="35">
        <f t="shared" si="4"/>
        <v>46011</v>
      </c>
      <c r="N20" s="31">
        <f t="shared" si="3"/>
        <v>46019</v>
      </c>
      <c r="O20" s="53">
        <v>46011.0</v>
      </c>
      <c r="P20" s="40">
        <v>46024.0</v>
      </c>
      <c r="S20" s="21" t="s">
        <v>23</v>
      </c>
    </row>
    <row r="21">
      <c r="A21" s="38">
        <f t="shared" si="1"/>
        <v>20</v>
      </c>
      <c r="B21" s="48" t="s">
        <v>727</v>
      </c>
      <c r="C21" s="48">
        <v>6.32504011E8</v>
      </c>
      <c r="D21" s="104"/>
      <c r="E21" s="49" t="s">
        <v>728</v>
      </c>
      <c r="G21" s="49" t="s">
        <v>18</v>
      </c>
      <c r="H21" s="7" t="s">
        <v>126</v>
      </c>
      <c r="I21" s="49" t="s">
        <v>40</v>
      </c>
      <c r="J21" s="48" t="s">
        <v>571</v>
      </c>
      <c r="L21" s="103">
        <v>46000.0</v>
      </c>
      <c r="M21" s="35">
        <f t="shared" si="4"/>
        <v>46011</v>
      </c>
      <c r="N21" s="31">
        <f t="shared" si="3"/>
        <v>46019</v>
      </c>
      <c r="O21" s="53">
        <v>46011.0</v>
      </c>
      <c r="P21" s="40">
        <v>46024.0</v>
      </c>
      <c r="S21" s="21" t="s">
        <v>23</v>
      </c>
    </row>
    <row r="22">
      <c r="A22" s="38">
        <f t="shared" si="1"/>
        <v>21</v>
      </c>
      <c r="B22" s="48" t="s">
        <v>729</v>
      </c>
      <c r="C22" s="48">
        <v>6.32504012E8</v>
      </c>
      <c r="D22" s="104"/>
      <c r="E22" s="49" t="s">
        <v>730</v>
      </c>
      <c r="G22" s="49" t="s">
        <v>18</v>
      </c>
      <c r="H22" s="55" t="s">
        <v>367</v>
      </c>
      <c r="I22" s="49" t="s">
        <v>40</v>
      </c>
      <c r="J22" s="48" t="s">
        <v>571</v>
      </c>
      <c r="L22" s="103">
        <v>46000.0</v>
      </c>
      <c r="M22" s="35">
        <f t="shared" si="4"/>
        <v>46011</v>
      </c>
      <c r="N22" s="31">
        <f t="shared" si="3"/>
        <v>46019</v>
      </c>
      <c r="O22" s="53">
        <v>46011.0</v>
      </c>
      <c r="P22" s="40">
        <v>46024.0</v>
      </c>
      <c r="S22" s="21" t="s">
        <v>23</v>
      </c>
    </row>
    <row r="23">
      <c r="A23" s="38">
        <f t="shared" si="1"/>
        <v>22</v>
      </c>
      <c r="B23" s="48" t="s">
        <v>731</v>
      </c>
      <c r="C23" s="48">
        <v>6.32504013E8</v>
      </c>
      <c r="D23" s="104"/>
      <c r="E23" s="49" t="s">
        <v>732</v>
      </c>
      <c r="G23" s="49" t="s">
        <v>18</v>
      </c>
      <c r="H23" s="55" t="s">
        <v>367</v>
      </c>
      <c r="I23" s="49" t="s">
        <v>40</v>
      </c>
      <c r="J23" s="48" t="s">
        <v>571</v>
      </c>
      <c r="L23" s="103">
        <v>46000.0</v>
      </c>
      <c r="M23" s="35">
        <f t="shared" si="4"/>
        <v>46011</v>
      </c>
      <c r="N23" s="31">
        <f t="shared" si="3"/>
        <v>46019</v>
      </c>
      <c r="O23" s="53">
        <v>46011.0</v>
      </c>
      <c r="P23" s="40">
        <v>46024.0</v>
      </c>
      <c r="S23" s="21" t="s">
        <v>23</v>
      </c>
    </row>
    <row r="24">
      <c r="A24" s="38">
        <f t="shared" si="1"/>
        <v>23</v>
      </c>
      <c r="B24" s="48" t="s">
        <v>733</v>
      </c>
      <c r="C24" s="48">
        <v>6.32504014E8</v>
      </c>
      <c r="D24" s="104"/>
      <c r="E24" s="49" t="s">
        <v>734</v>
      </c>
      <c r="G24" s="49" t="s">
        <v>18</v>
      </c>
      <c r="H24" s="55" t="s">
        <v>367</v>
      </c>
      <c r="I24" s="49" t="s">
        <v>40</v>
      </c>
      <c r="J24" s="48" t="s">
        <v>571</v>
      </c>
      <c r="L24" s="103">
        <v>46000.0</v>
      </c>
      <c r="M24" s="35">
        <f t="shared" si="4"/>
        <v>46011</v>
      </c>
      <c r="N24" s="31">
        <f t="shared" si="3"/>
        <v>46019</v>
      </c>
      <c r="O24" s="53">
        <v>46011.0</v>
      </c>
      <c r="P24" s="40">
        <v>46024.0</v>
      </c>
      <c r="S24" s="21" t="s">
        <v>23</v>
      </c>
    </row>
    <row r="25">
      <c r="A25" s="38">
        <f t="shared" si="1"/>
        <v>24</v>
      </c>
      <c r="B25" s="48" t="s">
        <v>735</v>
      </c>
      <c r="C25" s="48">
        <v>6.32504015E8</v>
      </c>
      <c r="D25" s="104"/>
      <c r="E25" s="49" t="s">
        <v>736</v>
      </c>
      <c r="G25" s="49" t="s">
        <v>18</v>
      </c>
      <c r="H25" s="55" t="s">
        <v>367</v>
      </c>
      <c r="I25" s="49" t="s">
        <v>40</v>
      </c>
      <c r="J25" s="48" t="s">
        <v>571</v>
      </c>
      <c r="L25" s="103">
        <v>46000.0</v>
      </c>
      <c r="M25" s="35">
        <f t="shared" si="4"/>
        <v>46011</v>
      </c>
      <c r="N25" s="31">
        <f t="shared" si="3"/>
        <v>46019</v>
      </c>
      <c r="O25" s="53">
        <v>46011.0</v>
      </c>
      <c r="P25" s="40">
        <v>46024.0</v>
      </c>
      <c r="S25" s="21" t="s">
        <v>23</v>
      </c>
    </row>
    <row r="26">
      <c r="A26" s="38">
        <f t="shared" si="1"/>
        <v>25</v>
      </c>
      <c r="B26" s="48" t="s">
        <v>737</v>
      </c>
      <c r="C26" s="48">
        <v>6.32504016E8</v>
      </c>
      <c r="D26" s="104"/>
      <c r="E26" s="49" t="s">
        <v>738</v>
      </c>
      <c r="G26" s="49" t="s">
        <v>18</v>
      </c>
      <c r="H26" s="55" t="s">
        <v>367</v>
      </c>
      <c r="I26" s="49" t="s">
        <v>40</v>
      </c>
      <c r="J26" s="48" t="s">
        <v>571</v>
      </c>
      <c r="L26" s="103">
        <v>46000.0</v>
      </c>
      <c r="M26" s="35">
        <f t="shared" si="4"/>
        <v>46011</v>
      </c>
      <c r="N26" s="31">
        <f t="shared" si="3"/>
        <v>46019</v>
      </c>
      <c r="O26" s="53">
        <v>46011.0</v>
      </c>
      <c r="P26" s="40">
        <v>46024.0</v>
      </c>
      <c r="S26" s="21" t="s">
        <v>23</v>
      </c>
    </row>
    <row r="27">
      <c r="A27" s="38">
        <f t="shared" si="1"/>
        <v>26</v>
      </c>
      <c r="B27" s="48" t="s">
        <v>739</v>
      </c>
      <c r="C27" s="48">
        <v>6.32504017E8</v>
      </c>
      <c r="D27" s="104"/>
      <c r="E27" s="49" t="s">
        <v>740</v>
      </c>
      <c r="G27" s="49" t="s">
        <v>18</v>
      </c>
      <c r="H27" s="55" t="s">
        <v>367</v>
      </c>
      <c r="I27" s="49" t="s">
        <v>40</v>
      </c>
      <c r="J27" s="48" t="s">
        <v>571</v>
      </c>
      <c r="L27" s="103">
        <v>46000.0</v>
      </c>
      <c r="M27" s="35">
        <f t="shared" si="4"/>
        <v>46011</v>
      </c>
      <c r="N27" s="31">
        <f t="shared" si="3"/>
        <v>46019</v>
      </c>
      <c r="O27" s="53">
        <v>46011.0</v>
      </c>
      <c r="P27" s="40">
        <v>46024.0</v>
      </c>
      <c r="S27" s="21" t="s">
        <v>23</v>
      </c>
    </row>
    <row r="28">
      <c r="A28" s="38">
        <f t="shared" si="1"/>
        <v>27</v>
      </c>
      <c r="B28" s="104"/>
      <c r="C28" s="104"/>
      <c r="D28" s="104"/>
      <c r="E28" s="49" t="s">
        <v>741</v>
      </c>
      <c r="G28" s="49" t="s">
        <v>18</v>
      </c>
      <c r="H28" s="7" t="s">
        <v>126</v>
      </c>
      <c r="I28" s="49" t="s">
        <v>40</v>
      </c>
      <c r="J28" s="57" t="s">
        <v>571</v>
      </c>
      <c r="L28" s="103">
        <v>46001.0</v>
      </c>
      <c r="M28" s="35">
        <f t="shared" si="4"/>
        <v>46012</v>
      </c>
      <c r="N28" s="31">
        <f t="shared" si="3"/>
        <v>46020</v>
      </c>
      <c r="O28" s="53">
        <v>46015.0</v>
      </c>
      <c r="P28" s="40">
        <v>46028.0</v>
      </c>
      <c r="S28" s="21" t="s">
        <v>23</v>
      </c>
    </row>
    <row r="29">
      <c r="A29" s="38">
        <f t="shared" si="1"/>
        <v>28</v>
      </c>
      <c r="B29" s="105" t="s">
        <v>742</v>
      </c>
      <c r="C29" s="102">
        <v>6.32504033E8</v>
      </c>
      <c r="E29" s="58" t="s">
        <v>743</v>
      </c>
      <c r="G29" s="58" t="s">
        <v>18</v>
      </c>
      <c r="H29" s="21" t="s">
        <v>744</v>
      </c>
      <c r="I29" s="50" t="s">
        <v>745</v>
      </c>
      <c r="J29" s="106" t="s">
        <v>30</v>
      </c>
      <c r="L29" s="103">
        <v>46002.0</v>
      </c>
      <c r="M29" s="35">
        <f t="shared" si="4"/>
        <v>46013</v>
      </c>
      <c r="N29" s="31">
        <f t="shared" si="3"/>
        <v>46021</v>
      </c>
      <c r="O29" s="53">
        <v>46013.0</v>
      </c>
      <c r="P29" s="53">
        <v>46018.0</v>
      </c>
      <c r="S29" s="21" t="s">
        <v>23</v>
      </c>
    </row>
    <row r="30">
      <c r="A30" s="38">
        <f t="shared" si="1"/>
        <v>29</v>
      </c>
      <c r="B30" s="107" t="s">
        <v>746</v>
      </c>
      <c r="C30" s="107">
        <v>6.32504034E8</v>
      </c>
      <c r="E30" s="58" t="s">
        <v>747</v>
      </c>
      <c r="G30" s="58" t="s">
        <v>18</v>
      </c>
      <c r="H30" s="21" t="s">
        <v>744</v>
      </c>
      <c r="I30" s="50" t="s">
        <v>745</v>
      </c>
      <c r="J30" s="106" t="s">
        <v>30</v>
      </c>
      <c r="L30" s="103">
        <v>46002.0</v>
      </c>
      <c r="M30" s="35">
        <f t="shared" si="4"/>
        <v>46013</v>
      </c>
      <c r="N30" s="31">
        <f t="shared" si="3"/>
        <v>46021</v>
      </c>
      <c r="O30" s="53">
        <v>46013.0</v>
      </c>
      <c r="P30" s="53">
        <v>46018.0</v>
      </c>
      <c r="S30" s="21" t="s">
        <v>23</v>
      </c>
    </row>
    <row r="31">
      <c r="A31" s="38">
        <f t="shared" si="1"/>
        <v>30</v>
      </c>
      <c r="B31" s="107" t="s">
        <v>748</v>
      </c>
      <c r="C31" s="107">
        <v>6.32504035E8</v>
      </c>
      <c r="E31" s="58" t="s">
        <v>749</v>
      </c>
      <c r="G31" s="58" t="s">
        <v>18</v>
      </c>
      <c r="H31" s="21" t="s">
        <v>744</v>
      </c>
      <c r="I31" s="58" t="s">
        <v>745</v>
      </c>
      <c r="J31" s="106" t="s">
        <v>30</v>
      </c>
      <c r="L31" s="103">
        <v>46002.0</v>
      </c>
      <c r="M31" s="35">
        <f t="shared" si="4"/>
        <v>46013</v>
      </c>
      <c r="N31" s="31">
        <f t="shared" si="3"/>
        <v>46021</v>
      </c>
      <c r="O31" s="53">
        <v>46013.0</v>
      </c>
      <c r="P31" s="53">
        <v>46018.0</v>
      </c>
      <c r="S31" s="21" t="s">
        <v>23</v>
      </c>
    </row>
    <row r="32">
      <c r="A32" s="38">
        <f t="shared" si="1"/>
        <v>31</v>
      </c>
      <c r="B32" s="105" t="s">
        <v>750</v>
      </c>
      <c r="C32" s="102">
        <v>6.32504036E8</v>
      </c>
      <c r="E32" s="58" t="s">
        <v>751</v>
      </c>
      <c r="G32" s="58" t="s">
        <v>18</v>
      </c>
      <c r="H32" s="21" t="s">
        <v>744</v>
      </c>
      <c r="I32" s="58" t="s">
        <v>745</v>
      </c>
      <c r="J32" s="106" t="s">
        <v>30</v>
      </c>
      <c r="L32" s="103">
        <v>46002.0</v>
      </c>
      <c r="M32" s="35">
        <f t="shared" si="4"/>
        <v>46013</v>
      </c>
      <c r="N32" s="31">
        <f t="shared" si="3"/>
        <v>46021</v>
      </c>
      <c r="O32" s="53">
        <v>46013.0</v>
      </c>
      <c r="P32" s="53">
        <v>46018.0</v>
      </c>
      <c r="S32" s="21" t="s">
        <v>23</v>
      </c>
    </row>
    <row r="33">
      <c r="A33" s="38">
        <f t="shared" si="1"/>
        <v>32</v>
      </c>
      <c r="B33" s="105" t="s">
        <v>752</v>
      </c>
      <c r="C33" s="102">
        <v>6.32504037E8</v>
      </c>
      <c r="E33" s="58" t="s">
        <v>753</v>
      </c>
      <c r="G33" s="58" t="s">
        <v>18</v>
      </c>
      <c r="H33" s="21" t="s">
        <v>754</v>
      </c>
      <c r="I33" s="58" t="s">
        <v>745</v>
      </c>
      <c r="J33" s="106" t="s">
        <v>30</v>
      </c>
      <c r="L33" s="103">
        <v>46002.0</v>
      </c>
      <c r="M33" s="35">
        <f t="shared" si="4"/>
        <v>46013</v>
      </c>
      <c r="N33" s="31">
        <f t="shared" si="3"/>
        <v>46021</v>
      </c>
      <c r="O33" s="53">
        <v>46013.0</v>
      </c>
      <c r="P33" s="53">
        <v>46018.0</v>
      </c>
      <c r="S33" s="21" t="s">
        <v>23</v>
      </c>
    </row>
    <row r="34">
      <c r="A34" s="38">
        <f t="shared" si="1"/>
        <v>33</v>
      </c>
      <c r="B34" s="105" t="s">
        <v>755</v>
      </c>
      <c r="C34" s="102">
        <v>6.32504038E8</v>
      </c>
      <c r="E34" s="58" t="s">
        <v>756</v>
      </c>
      <c r="G34" s="58" t="s">
        <v>18</v>
      </c>
      <c r="H34" s="21" t="s">
        <v>757</v>
      </c>
      <c r="I34" s="58" t="s">
        <v>745</v>
      </c>
      <c r="J34" s="106" t="s">
        <v>30</v>
      </c>
      <c r="L34" s="103">
        <v>46002.0</v>
      </c>
      <c r="M34" s="35">
        <f t="shared" si="4"/>
        <v>46013</v>
      </c>
      <c r="N34" s="31">
        <f t="shared" si="3"/>
        <v>46021</v>
      </c>
      <c r="O34" s="53">
        <v>46013.0</v>
      </c>
      <c r="P34" s="53">
        <v>46018.0</v>
      </c>
      <c r="S34" s="21" t="s">
        <v>23</v>
      </c>
    </row>
    <row r="35">
      <c r="A35" s="38">
        <f t="shared" si="1"/>
        <v>34</v>
      </c>
      <c r="B35" s="105" t="s">
        <v>758</v>
      </c>
      <c r="C35" s="102">
        <v>6.32504039E8</v>
      </c>
      <c r="E35" s="50" t="s">
        <v>759</v>
      </c>
      <c r="G35" s="58" t="s">
        <v>18</v>
      </c>
      <c r="H35" s="21" t="s">
        <v>744</v>
      </c>
      <c r="I35" s="58" t="s">
        <v>745</v>
      </c>
      <c r="J35" s="106" t="s">
        <v>30</v>
      </c>
      <c r="L35" s="103">
        <v>46002.0</v>
      </c>
      <c r="M35" s="35">
        <f t="shared" si="4"/>
        <v>46013</v>
      </c>
      <c r="N35" s="31">
        <f t="shared" si="3"/>
        <v>46021</v>
      </c>
      <c r="O35" s="53">
        <v>46013.0</v>
      </c>
      <c r="P35" s="53">
        <v>46018.0</v>
      </c>
      <c r="S35" s="21" t="s">
        <v>23</v>
      </c>
    </row>
    <row r="36">
      <c r="A36" s="38">
        <f t="shared" si="1"/>
        <v>35</v>
      </c>
      <c r="B36" s="49" t="s">
        <v>760</v>
      </c>
      <c r="E36" s="49" t="s">
        <v>761</v>
      </c>
      <c r="G36" s="58" t="s">
        <v>18</v>
      </c>
      <c r="H36" s="7" t="s">
        <v>126</v>
      </c>
      <c r="I36" s="49" t="s">
        <v>40</v>
      </c>
      <c r="J36" s="49" t="s">
        <v>30</v>
      </c>
      <c r="L36" s="108" t="s">
        <v>762</v>
      </c>
      <c r="M36" s="35">
        <f t="shared" si="4"/>
        <v>46015</v>
      </c>
      <c r="N36" s="31">
        <f t="shared" si="3"/>
        <v>46023</v>
      </c>
      <c r="O36" s="53">
        <v>46015.0</v>
      </c>
      <c r="P36" s="40">
        <v>46028.0</v>
      </c>
      <c r="S36" s="21" t="s">
        <v>23</v>
      </c>
    </row>
    <row r="37">
      <c r="A37" s="38">
        <f t="shared" si="1"/>
        <v>36</v>
      </c>
      <c r="B37" s="49" t="s">
        <v>760</v>
      </c>
      <c r="E37" s="49" t="s">
        <v>763</v>
      </c>
      <c r="G37" s="58" t="s">
        <v>18</v>
      </c>
      <c r="H37" s="7" t="s">
        <v>126</v>
      </c>
      <c r="I37" s="49" t="s">
        <v>40</v>
      </c>
      <c r="J37" s="49" t="s">
        <v>30</v>
      </c>
      <c r="L37" s="108" t="s">
        <v>762</v>
      </c>
      <c r="M37" s="35">
        <f t="shared" si="4"/>
        <v>46015</v>
      </c>
      <c r="N37" s="31">
        <f t="shared" si="3"/>
        <v>46023</v>
      </c>
      <c r="O37" s="53">
        <v>46015.0</v>
      </c>
      <c r="P37" s="40">
        <v>46028.0</v>
      </c>
      <c r="S37" s="21" t="s">
        <v>23</v>
      </c>
    </row>
    <row r="38">
      <c r="A38" s="38">
        <f t="shared" si="1"/>
        <v>37</v>
      </c>
      <c r="B38" s="49" t="s">
        <v>760</v>
      </c>
      <c r="E38" s="49" t="s">
        <v>764</v>
      </c>
      <c r="G38" s="58" t="s">
        <v>18</v>
      </c>
      <c r="H38" s="7" t="s">
        <v>126</v>
      </c>
      <c r="I38" s="49" t="s">
        <v>40</v>
      </c>
      <c r="J38" s="49" t="s">
        <v>30</v>
      </c>
      <c r="L38" s="108" t="s">
        <v>762</v>
      </c>
      <c r="M38" s="35">
        <f t="shared" si="4"/>
        <v>46015</v>
      </c>
      <c r="N38" s="31">
        <f t="shared" si="3"/>
        <v>46023</v>
      </c>
      <c r="O38" s="53">
        <v>46015.0</v>
      </c>
      <c r="P38" s="40">
        <v>46028.0</v>
      </c>
      <c r="S38" s="21" t="s">
        <v>23</v>
      </c>
    </row>
    <row r="39">
      <c r="A39" s="38">
        <f t="shared" si="1"/>
        <v>38</v>
      </c>
      <c r="B39" s="49" t="s">
        <v>760</v>
      </c>
      <c r="E39" s="49" t="s">
        <v>765</v>
      </c>
      <c r="G39" s="58" t="s">
        <v>18</v>
      </c>
      <c r="H39" s="7" t="s">
        <v>126</v>
      </c>
      <c r="I39" s="49" t="s">
        <v>40</v>
      </c>
      <c r="J39" s="49" t="s">
        <v>30</v>
      </c>
      <c r="L39" s="108" t="s">
        <v>762</v>
      </c>
      <c r="M39" s="35">
        <f t="shared" si="4"/>
        <v>46015</v>
      </c>
      <c r="N39" s="31">
        <f t="shared" si="3"/>
        <v>46023</v>
      </c>
      <c r="O39" s="53">
        <v>46015.0</v>
      </c>
      <c r="P39" s="40">
        <v>46028.0</v>
      </c>
      <c r="S39" s="21" t="s">
        <v>23</v>
      </c>
    </row>
    <row r="40">
      <c r="A40" s="38">
        <f t="shared" si="1"/>
        <v>39</v>
      </c>
      <c r="B40" s="49" t="s">
        <v>760</v>
      </c>
      <c r="E40" s="49" t="s">
        <v>766</v>
      </c>
      <c r="G40" s="58" t="s">
        <v>18</v>
      </c>
      <c r="H40" s="7" t="s">
        <v>126</v>
      </c>
      <c r="I40" s="49" t="s">
        <v>40</v>
      </c>
      <c r="J40" s="49" t="s">
        <v>30</v>
      </c>
      <c r="L40" s="108" t="s">
        <v>762</v>
      </c>
      <c r="M40" s="35">
        <f t="shared" si="4"/>
        <v>46015</v>
      </c>
      <c r="N40" s="31">
        <f t="shared" si="3"/>
        <v>46023</v>
      </c>
      <c r="O40" s="53">
        <v>46015.0</v>
      </c>
      <c r="P40" s="40">
        <v>46028.0</v>
      </c>
      <c r="S40" s="21" t="s">
        <v>23</v>
      </c>
    </row>
    <row r="41">
      <c r="A41" s="38">
        <f t="shared" si="1"/>
        <v>40</v>
      </c>
      <c r="B41" s="49" t="s">
        <v>760</v>
      </c>
      <c r="E41" s="49" t="s">
        <v>767</v>
      </c>
      <c r="G41" s="58" t="s">
        <v>18</v>
      </c>
      <c r="H41" s="7" t="s">
        <v>126</v>
      </c>
      <c r="I41" s="49" t="s">
        <v>40</v>
      </c>
      <c r="J41" s="49" t="s">
        <v>30</v>
      </c>
      <c r="L41" s="108" t="s">
        <v>762</v>
      </c>
      <c r="M41" s="35">
        <f t="shared" si="4"/>
        <v>46015</v>
      </c>
      <c r="N41" s="31">
        <f t="shared" si="3"/>
        <v>46023</v>
      </c>
      <c r="O41" s="53">
        <v>46015.0</v>
      </c>
      <c r="P41" s="40">
        <v>46028.0</v>
      </c>
      <c r="S41" s="21" t="s">
        <v>23</v>
      </c>
    </row>
    <row r="42">
      <c r="A42" s="38">
        <f t="shared" si="1"/>
        <v>41</v>
      </c>
      <c r="B42" s="49" t="s">
        <v>760</v>
      </c>
      <c r="E42" s="49" t="s">
        <v>768</v>
      </c>
      <c r="G42" s="58" t="s">
        <v>18</v>
      </c>
      <c r="H42" s="7" t="s">
        <v>126</v>
      </c>
      <c r="I42" s="49" t="s">
        <v>40</v>
      </c>
      <c r="J42" s="49" t="s">
        <v>30</v>
      </c>
      <c r="L42" s="108" t="s">
        <v>762</v>
      </c>
      <c r="M42" s="35">
        <f t="shared" si="4"/>
        <v>46015</v>
      </c>
      <c r="N42" s="31">
        <f t="shared" si="3"/>
        <v>46023</v>
      </c>
      <c r="O42" s="53">
        <v>46015.0</v>
      </c>
      <c r="P42" s="40">
        <v>46028.0</v>
      </c>
      <c r="S42" s="21" t="s">
        <v>23</v>
      </c>
    </row>
    <row r="43">
      <c r="A43" s="38">
        <f t="shared" si="1"/>
        <v>42</v>
      </c>
      <c r="B43" s="49" t="s">
        <v>760</v>
      </c>
      <c r="E43" s="49" t="s">
        <v>769</v>
      </c>
      <c r="G43" s="58" t="s">
        <v>18</v>
      </c>
      <c r="H43" s="7" t="s">
        <v>126</v>
      </c>
      <c r="I43" s="49" t="s">
        <v>40</v>
      </c>
      <c r="J43" s="49" t="s">
        <v>30</v>
      </c>
      <c r="L43" s="108" t="s">
        <v>762</v>
      </c>
      <c r="M43" s="35">
        <f t="shared" si="4"/>
        <v>46015</v>
      </c>
      <c r="N43" s="31">
        <f t="shared" si="3"/>
        <v>46023</v>
      </c>
      <c r="O43" s="53">
        <v>46015.0</v>
      </c>
      <c r="P43" s="40">
        <v>46028.0</v>
      </c>
      <c r="S43" s="21" t="s">
        <v>23</v>
      </c>
    </row>
    <row r="44">
      <c r="A44" s="38">
        <f t="shared" si="1"/>
        <v>43</v>
      </c>
      <c r="B44" s="49" t="s">
        <v>760</v>
      </c>
      <c r="E44" s="49" t="s">
        <v>770</v>
      </c>
      <c r="G44" s="58" t="s">
        <v>18</v>
      </c>
      <c r="H44" s="7" t="s">
        <v>126</v>
      </c>
      <c r="I44" s="49" t="s">
        <v>40</v>
      </c>
      <c r="J44" s="49" t="s">
        <v>30</v>
      </c>
      <c r="L44" s="108" t="s">
        <v>762</v>
      </c>
      <c r="M44" s="35">
        <f t="shared" si="4"/>
        <v>46015</v>
      </c>
      <c r="N44" s="31">
        <f t="shared" si="3"/>
        <v>46023</v>
      </c>
      <c r="O44" s="53">
        <v>46015.0</v>
      </c>
      <c r="P44" s="40">
        <v>46028.0</v>
      </c>
      <c r="S44" s="21" t="s">
        <v>23</v>
      </c>
    </row>
    <row r="45">
      <c r="A45" s="38">
        <f t="shared" si="1"/>
        <v>44</v>
      </c>
      <c r="B45" s="49" t="s">
        <v>760</v>
      </c>
      <c r="E45" s="49" t="s">
        <v>771</v>
      </c>
      <c r="G45" s="58" t="s">
        <v>18</v>
      </c>
      <c r="H45" s="7" t="s">
        <v>126</v>
      </c>
      <c r="I45" s="49" t="s">
        <v>40</v>
      </c>
      <c r="J45" s="49" t="s">
        <v>30</v>
      </c>
      <c r="L45" s="108" t="s">
        <v>762</v>
      </c>
      <c r="M45" s="35">
        <f t="shared" si="4"/>
        <v>46015</v>
      </c>
      <c r="N45" s="31">
        <f t="shared" si="3"/>
        <v>46023</v>
      </c>
      <c r="O45" s="53">
        <v>46015.0</v>
      </c>
      <c r="P45" s="40">
        <v>46028.0</v>
      </c>
      <c r="S45" s="21" t="s">
        <v>23</v>
      </c>
    </row>
    <row r="46">
      <c r="A46" s="38">
        <f t="shared" si="1"/>
        <v>45</v>
      </c>
      <c r="B46" s="49" t="s">
        <v>760</v>
      </c>
      <c r="E46" s="49" t="s">
        <v>772</v>
      </c>
      <c r="G46" s="58" t="s">
        <v>18</v>
      </c>
      <c r="H46" s="7" t="s">
        <v>126</v>
      </c>
      <c r="I46" s="49" t="s">
        <v>40</v>
      </c>
      <c r="J46" s="49" t="s">
        <v>30</v>
      </c>
      <c r="L46" s="108" t="s">
        <v>762</v>
      </c>
      <c r="M46" s="35">
        <f t="shared" si="4"/>
        <v>46015</v>
      </c>
      <c r="N46" s="31">
        <f t="shared" si="3"/>
        <v>46023</v>
      </c>
      <c r="O46" s="53">
        <v>46015.0</v>
      </c>
      <c r="P46" s="40">
        <v>46028.0</v>
      </c>
      <c r="S46" s="21" t="s">
        <v>23</v>
      </c>
    </row>
    <row r="47">
      <c r="A47" s="38">
        <f t="shared" si="1"/>
        <v>46</v>
      </c>
      <c r="B47" s="49" t="s">
        <v>760</v>
      </c>
      <c r="E47" s="49" t="s">
        <v>773</v>
      </c>
      <c r="G47" s="58" t="s">
        <v>18</v>
      </c>
      <c r="H47" s="7" t="s">
        <v>126</v>
      </c>
      <c r="I47" s="49" t="s">
        <v>40</v>
      </c>
      <c r="J47" s="49" t="s">
        <v>30</v>
      </c>
      <c r="L47" s="108" t="s">
        <v>762</v>
      </c>
      <c r="M47" s="35">
        <f t="shared" si="4"/>
        <v>46015</v>
      </c>
      <c r="N47" s="31">
        <f t="shared" si="3"/>
        <v>46023</v>
      </c>
      <c r="O47" s="53">
        <v>46015.0</v>
      </c>
      <c r="P47" s="40">
        <v>46028.0</v>
      </c>
      <c r="S47" s="21" t="s">
        <v>23</v>
      </c>
    </row>
    <row r="48">
      <c r="A48" s="38">
        <f t="shared" si="1"/>
        <v>47</v>
      </c>
      <c r="B48" s="49" t="s">
        <v>774</v>
      </c>
      <c r="E48" s="49" t="s">
        <v>775</v>
      </c>
      <c r="G48" s="58" t="s">
        <v>18</v>
      </c>
      <c r="H48" s="7" t="s">
        <v>126</v>
      </c>
      <c r="I48" s="49" t="s">
        <v>40</v>
      </c>
      <c r="J48" s="49" t="s">
        <v>30</v>
      </c>
      <c r="L48" s="108" t="s">
        <v>762</v>
      </c>
      <c r="M48" s="35">
        <f t="shared" si="4"/>
        <v>46015</v>
      </c>
      <c r="N48" s="31">
        <f t="shared" si="3"/>
        <v>46023</v>
      </c>
      <c r="O48" s="53">
        <v>46015.0</v>
      </c>
      <c r="P48" s="40">
        <v>46028.0</v>
      </c>
      <c r="S48" s="21" t="s">
        <v>23</v>
      </c>
    </row>
    <row r="49">
      <c r="A49" s="38">
        <f t="shared" si="1"/>
        <v>48</v>
      </c>
      <c r="B49" s="49" t="s">
        <v>776</v>
      </c>
      <c r="E49" s="49" t="s">
        <v>777</v>
      </c>
      <c r="G49" s="58" t="s">
        <v>18</v>
      </c>
      <c r="H49" s="7" t="s">
        <v>126</v>
      </c>
      <c r="I49" s="49" t="s">
        <v>40</v>
      </c>
      <c r="J49" s="49" t="s">
        <v>30</v>
      </c>
      <c r="L49" s="108" t="s">
        <v>762</v>
      </c>
      <c r="M49" s="35">
        <f t="shared" si="4"/>
        <v>46015</v>
      </c>
      <c r="N49" s="31">
        <f t="shared" si="3"/>
        <v>46023</v>
      </c>
      <c r="O49" s="53">
        <v>46015.0</v>
      </c>
      <c r="P49" s="40">
        <v>46028.0</v>
      </c>
      <c r="S49" s="21" t="s">
        <v>23</v>
      </c>
    </row>
    <row r="50">
      <c r="A50" s="38">
        <f t="shared" si="1"/>
        <v>49</v>
      </c>
      <c r="B50" s="49" t="s">
        <v>778</v>
      </c>
      <c r="E50" s="49" t="s">
        <v>779</v>
      </c>
      <c r="G50" s="58" t="s">
        <v>18</v>
      </c>
      <c r="H50" s="7" t="s">
        <v>126</v>
      </c>
      <c r="I50" s="49" t="s">
        <v>40</v>
      </c>
      <c r="J50" s="49" t="s">
        <v>30</v>
      </c>
      <c r="L50" s="108" t="s">
        <v>762</v>
      </c>
      <c r="M50" s="35">
        <f t="shared" si="4"/>
        <v>46015</v>
      </c>
      <c r="N50" s="31">
        <f t="shared" si="3"/>
        <v>46023</v>
      </c>
      <c r="O50" s="53">
        <v>46015.0</v>
      </c>
      <c r="P50" s="40">
        <v>46028.0</v>
      </c>
      <c r="S50" s="21" t="s">
        <v>23</v>
      </c>
    </row>
    <row r="51">
      <c r="A51" s="38">
        <f t="shared" si="1"/>
        <v>50</v>
      </c>
      <c r="B51" s="49" t="s">
        <v>780</v>
      </c>
      <c r="C51" s="49">
        <v>6.32504124E8</v>
      </c>
      <c r="D51" s="48" t="s">
        <v>781</v>
      </c>
      <c r="E51" s="58" t="s">
        <v>782</v>
      </c>
      <c r="F51" s="109"/>
      <c r="G51" s="84" t="s">
        <v>18</v>
      </c>
      <c r="H51" s="55" t="s">
        <v>335</v>
      </c>
      <c r="I51" s="50" t="s">
        <v>358</v>
      </c>
      <c r="J51" s="49" t="s">
        <v>359</v>
      </c>
      <c r="L51" s="49" t="s">
        <v>783</v>
      </c>
      <c r="M51" s="35">
        <f t="shared" si="4"/>
        <v>46019</v>
      </c>
      <c r="N51" s="31">
        <f t="shared" si="3"/>
        <v>46027</v>
      </c>
      <c r="O51" s="53">
        <v>46020.0</v>
      </c>
      <c r="P51" s="40">
        <v>46029.0</v>
      </c>
      <c r="S51" s="21" t="s">
        <v>23</v>
      </c>
    </row>
    <row r="52">
      <c r="A52" s="38">
        <f t="shared" si="1"/>
        <v>51</v>
      </c>
      <c r="B52" s="49" t="s">
        <v>784</v>
      </c>
      <c r="C52" s="49">
        <v>6.32504125E8</v>
      </c>
      <c r="D52" s="48" t="s">
        <v>781</v>
      </c>
      <c r="E52" s="58" t="s">
        <v>785</v>
      </c>
      <c r="F52" s="108"/>
      <c r="G52" s="84" t="s">
        <v>18</v>
      </c>
      <c r="H52" s="55" t="s">
        <v>335</v>
      </c>
      <c r="I52" s="50" t="s">
        <v>358</v>
      </c>
      <c r="J52" s="49" t="s">
        <v>359</v>
      </c>
      <c r="L52" s="49" t="s">
        <v>786</v>
      </c>
      <c r="M52" s="35">
        <f t="shared" si="4"/>
        <v>46018</v>
      </c>
      <c r="N52" s="31">
        <f t="shared" si="3"/>
        <v>46026</v>
      </c>
      <c r="O52" s="53">
        <v>46020.0</v>
      </c>
      <c r="P52" s="40">
        <v>46029.0</v>
      </c>
      <c r="S52" s="21" t="s">
        <v>23</v>
      </c>
    </row>
    <row r="53">
      <c r="A53" s="38">
        <f t="shared" si="1"/>
        <v>52</v>
      </c>
      <c r="B53" s="49" t="s">
        <v>787</v>
      </c>
      <c r="C53" s="49">
        <v>6.32504113E8</v>
      </c>
      <c r="D53" s="48" t="s">
        <v>781</v>
      </c>
      <c r="E53" s="58" t="s">
        <v>788</v>
      </c>
      <c r="F53" s="108"/>
      <c r="G53" s="84" t="s">
        <v>18</v>
      </c>
      <c r="H53" s="55" t="s">
        <v>789</v>
      </c>
      <c r="I53" s="50" t="s">
        <v>358</v>
      </c>
      <c r="J53" s="49" t="s">
        <v>359</v>
      </c>
      <c r="L53" s="49" t="s">
        <v>790</v>
      </c>
      <c r="M53" s="35">
        <f t="shared" si="4"/>
        <v>46020</v>
      </c>
      <c r="N53" s="31">
        <f t="shared" si="3"/>
        <v>46028</v>
      </c>
      <c r="O53" s="53">
        <v>46020.0</v>
      </c>
      <c r="P53" s="40">
        <v>46029.0</v>
      </c>
      <c r="S53" s="21" t="s">
        <v>23</v>
      </c>
    </row>
    <row r="54">
      <c r="A54" s="38">
        <f t="shared" si="1"/>
        <v>53</v>
      </c>
      <c r="B54" s="49" t="s">
        <v>791</v>
      </c>
      <c r="C54" s="49">
        <v>6.32504114E8</v>
      </c>
      <c r="D54" s="48" t="s">
        <v>781</v>
      </c>
      <c r="E54" s="58" t="s">
        <v>792</v>
      </c>
      <c r="F54" s="108"/>
      <c r="G54" s="84" t="s">
        <v>18</v>
      </c>
      <c r="H54" s="55" t="s">
        <v>335</v>
      </c>
      <c r="I54" s="50" t="s">
        <v>358</v>
      </c>
      <c r="J54" s="49" t="s">
        <v>359</v>
      </c>
      <c r="L54" s="49" t="s">
        <v>790</v>
      </c>
      <c r="M54" s="35">
        <f t="shared" si="4"/>
        <v>46020</v>
      </c>
      <c r="N54" s="31">
        <f t="shared" si="3"/>
        <v>46028</v>
      </c>
      <c r="O54" s="53">
        <v>46020.0</v>
      </c>
      <c r="P54" s="40">
        <v>46029.0</v>
      </c>
      <c r="S54" s="21" t="s">
        <v>23</v>
      </c>
    </row>
    <row r="55">
      <c r="A55" s="38">
        <f t="shared" si="1"/>
        <v>54</v>
      </c>
      <c r="B55" s="98" t="s">
        <v>793</v>
      </c>
      <c r="C55" s="98">
        <v>6.32504119E8</v>
      </c>
      <c r="D55" s="98" t="s">
        <v>794</v>
      </c>
      <c r="E55" s="98" t="s">
        <v>795</v>
      </c>
      <c r="F55" s="98"/>
      <c r="G55" s="98" t="s">
        <v>18</v>
      </c>
      <c r="H55" s="55" t="s">
        <v>335</v>
      </c>
      <c r="I55" s="50" t="s">
        <v>358</v>
      </c>
      <c r="J55" s="98" t="s">
        <v>796</v>
      </c>
      <c r="K55" s="98"/>
      <c r="L55" s="98" t="s">
        <v>790</v>
      </c>
      <c r="M55" s="35">
        <f t="shared" si="4"/>
        <v>46020</v>
      </c>
      <c r="N55" s="31">
        <f t="shared" si="3"/>
        <v>46028</v>
      </c>
      <c r="O55" s="21" t="s">
        <v>797</v>
      </c>
      <c r="P55" s="53">
        <v>46020.0</v>
      </c>
      <c r="S55" s="21" t="s">
        <v>23</v>
      </c>
    </row>
    <row r="56">
      <c r="A56" s="38">
        <f t="shared" si="1"/>
        <v>55</v>
      </c>
      <c r="B56" s="49" t="s">
        <v>798</v>
      </c>
      <c r="C56" s="49">
        <v>6.32504115E8</v>
      </c>
      <c r="D56" s="104"/>
      <c r="E56" s="58" t="s">
        <v>799</v>
      </c>
      <c r="F56" s="108"/>
      <c r="G56" s="84" t="s">
        <v>18</v>
      </c>
      <c r="H56" s="7" t="s">
        <v>126</v>
      </c>
      <c r="I56" s="49" t="s">
        <v>40</v>
      </c>
      <c r="J56" s="21" t="s">
        <v>30</v>
      </c>
      <c r="L56" s="49" t="s">
        <v>790</v>
      </c>
      <c r="M56" s="35">
        <f t="shared" si="4"/>
        <v>46020</v>
      </c>
      <c r="N56" s="31">
        <f t="shared" si="3"/>
        <v>46028</v>
      </c>
      <c r="O56" s="53">
        <v>46020.0</v>
      </c>
      <c r="P56" s="60">
        <v>46032.0</v>
      </c>
      <c r="S56" s="21" t="s">
        <v>23</v>
      </c>
    </row>
    <row r="57">
      <c r="A57" s="38">
        <f t="shared" si="1"/>
        <v>56</v>
      </c>
      <c r="B57" s="49" t="s">
        <v>800</v>
      </c>
      <c r="C57" s="49">
        <v>6.32504116E8</v>
      </c>
      <c r="D57" s="104"/>
      <c r="E57" s="58" t="s">
        <v>801</v>
      </c>
      <c r="G57" s="84" t="s">
        <v>18</v>
      </c>
      <c r="H57" s="7" t="s">
        <v>126</v>
      </c>
      <c r="I57" s="49" t="s">
        <v>40</v>
      </c>
      <c r="J57" s="21" t="s">
        <v>30</v>
      </c>
      <c r="L57" s="49" t="s">
        <v>790</v>
      </c>
      <c r="M57" s="35">
        <f t="shared" si="4"/>
        <v>46020</v>
      </c>
      <c r="N57" s="31">
        <f t="shared" si="3"/>
        <v>46028</v>
      </c>
      <c r="O57" s="53">
        <v>46020.0</v>
      </c>
      <c r="P57" s="60">
        <v>46032.0</v>
      </c>
      <c r="S57" s="21" t="s">
        <v>23</v>
      </c>
    </row>
    <row r="58">
      <c r="A58" s="38">
        <f t="shared" si="1"/>
        <v>57</v>
      </c>
      <c r="B58" s="49" t="s">
        <v>802</v>
      </c>
      <c r="C58" s="49">
        <v>6.32504117E8</v>
      </c>
      <c r="D58" s="104"/>
      <c r="E58" s="58" t="s">
        <v>803</v>
      </c>
      <c r="G58" s="84" t="s">
        <v>18</v>
      </c>
      <c r="H58" s="7" t="s">
        <v>126</v>
      </c>
      <c r="I58" s="49" t="s">
        <v>40</v>
      </c>
      <c r="J58" s="21" t="s">
        <v>30</v>
      </c>
      <c r="L58" s="49" t="s">
        <v>790</v>
      </c>
      <c r="M58" s="35">
        <f t="shared" si="4"/>
        <v>46020</v>
      </c>
      <c r="N58" s="31">
        <f t="shared" si="3"/>
        <v>46028</v>
      </c>
      <c r="O58" s="53">
        <v>46020.0</v>
      </c>
      <c r="P58" s="60">
        <v>46032.0</v>
      </c>
      <c r="S58" s="21" t="s">
        <v>23</v>
      </c>
    </row>
    <row r="59">
      <c r="A59" s="38">
        <f t="shared" si="1"/>
        <v>58</v>
      </c>
      <c r="B59" s="49" t="s">
        <v>804</v>
      </c>
      <c r="C59" s="49">
        <v>6.32504118E8</v>
      </c>
      <c r="D59" s="104"/>
      <c r="E59" s="50" t="s">
        <v>805</v>
      </c>
      <c r="G59" s="84" t="s">
        <v>18</v>
      </c>
      <c r="H59" s="7" t="s">
        <v>126</v>
      </c>
      <c r="I59" s="49" t="s">
        <v>40</v>
      </c>
      <c r="J59" s="21" t="s">
        <v>30</v>
      </c>
      <c r="L59" s="49" t="s">
        <v>790</v>
      </c>
      <c r="M59" s="35">
        <f t="shared" si="4"/>
        <v>46020</v>
      </c>
      <c r="N59" s="31">
        <f t="shared" si="3"/>
        <v>46028</v>
      </c>
      <c r="O59" s="53">
        <v>46020.0</v>
      </c>
      <c r="P59" s="60">
        <v>46032.0</v>
      </c>
      <c r="S59" s="21" t="s">
        <v>23</v>
      </c>
    </row>
    <row r="60">
      <c r="A60" s="38">
        <f t="shared" si="1"/>
        <v>59</v>
      </c>
      <c r="E60" s="110" t="s">
        <v>806</v>
      </c>
      <c r="G60" s="84" t="s">
        <v>18</v>
      </c>
      <c r="H60" s="55" t="s">
        <v>335</v>
      </c>
      <c r="I60" s="50" t="s">
        <v>358</v>
      </c>
      <c r="J60" s="111" t="s">
        <v>359</v>
      </c>
      <c r="L60" s="111" t="s">
        <v>807</v>
      </c>
      <c r="M60" s="35">
        <f t="shared" si="4"/>
        <v>46023</v>
      </c>
      <c r="N60" s="31">
        <f t="shared" si="3"/>
        <v>46031</v>
      </c>
      <c r="O60" s="40">
        <v>46056.0</v>
      </c>
      <c r="P60" s="40">
        <v>46027.0</v>
      </c>
      <c r="S60" s="21" t="s">
        <v>23</v>
      </c>
    </row>
    <row r="61">
      <c r="A61" s="38">
        <f t="shared" si="1"/>
        <v>60</v>
      </c>
      <c r="B61" s="98"/>
      <c r="C61" s="98"/>
      <c r="D61" s="98"/>
      <c r="E61" s="98" t="s">
        <v>808</v>
      </c>
      <c r="F61" s="98"/>
      <c r="G61" s="98" t="s">
        <v>18</v>
      </c>
      <c r="H61" s="55" t="s">
        <v>335</v>
      </c>
      <c r="I61" s="50" t="s">
        <v>358</v>
      </c>
      <c r="J61" s="98" t="s">
        <v>30</v>
      </c>
      <c r="K61" s="98"/>
      <c r="L61" s="98" t="s">
        <v>807</v>
      </c>
      <c r="M61" s="35">
        <f t="shared" si="4"/>
        <v>46023</v>
      </c>
      <c r="N61" s="31">
        <f t="shared" si="3"/>
        <v>46031</v>
      </c>
      <c r="O61" s="21" t="s">
        <v>797</v>
      </c>
      <c r="P61" s="40">
        <v>46027.0</v>
      </c>
      <c r="S61" s="21" t="s">
        <v>23</v>
      </c>
    </row>
    <row r="62">
      <c r="A62" s="38">
        <f t="shared" si="1"/>
        <v>61</v>
      </c>
      <c r="B62" s="98"/>
      <c r="C62" s="98"/>
      <c r="D62" s="98"/>
      <c r="E62" s="98" t="s">
        <v>809</v>
      </c>
      <c r="F62" s="98"/>
      <c r="G62" s="98" t="s">
        <v>18</v>
      </c>
      <c r="H62" s="55" t="s">
        <v>335</v>
      </c>
      <c r="I62" s="50" t="s">
        <v>358</v>
      </c>
      <c r="J62" s="98" t="s">
        <v>359</v>
      </c>
      <c r="K62" s="98"/>
      <c r="L62" s="98" t="s">
        <v>807</v>
      </c>
      <c r="M62" s="35">
        <f t="shared" si="4"/>
        <v>46023</v>
      </c>
      <c r="N62" s="31">
        <f t="shared" si="3"/>
        <v>46031</v>
      </c>
      <c r="O62" s="21" t="s">
        <v>797</v>
      </c>
      <c r="P62" s="40">
        <v>46024.0</v>
      </c>
      <c r="S62" s="21" t="s">
        <v>23</v>
      </c>
    </row>
    <row r="63">
      <c r="A63" s="38">
        <f t="shared" si="1"/>
        <v>62</v>
      </c>
      <c r="B63" s="112" t="s">
        <v>810</v>
      </c>
      <c r="C63" s="113">
        <v>6.32504209E8</v>
      </c>
      <c r="E63" s="114" t="s">
        <v>811</v>
      </c>
      <c r="G63" s="84" t="s">
        <v>18</v>
      </c>
      <c r="H63" s="55" t="s">
        <v>335</v>
      </c>
      <c r="I63" s="50" t="s">
        <v>358</v>
      </c>
      <c r="J63" s="115" t="s">
        <v>359</v>
      </c>
      <c r="L63" s="115" t="s">
        <v>812</v>
      </c>
      <c r="M63" s="35">
        <f t="shared" si="4"/>
        <v>46026</v>
      </c>
      <c r="N63" s="31">
        <f t="shared" si="3"/>
        <v>46034</v>
      </c>
      <c r="O63" s="40">
        <v>46027.0</v>
      </c>
      <c r="P63" s="40">
        <v>46039.0</v>
      </c>
      <c r="S63" s="21" t="s">
        <v>23</v>
      </c>
    </row>
    <row r="64">
      <c r="A64" s="38">
        <f t="shared" si="1"/>
        <v>63</v>
      </c>
      <c r="B64" s="112" t="s">
        <v>813</v>
      </c>
      <c r="C64" s="113">
        <v>6.32504201E8</v>
      </c>
      <c r="E64" s="114" t="s">
        <v>814</v>
      </c>
      <c r="G64" s="84" t="s">
        <v>18</v>
      </c>
      <c r="H64" s="55" t="s">
        <v>335</v>
      </c>
      <c r="I64" s="50" t="s">
        <v>358</v>
      </c>
      <c r="J64" s="115" t="s">
        <v>359</v>
      </c>
      <c r="L64" s="115" t="s">
        <v>812</v>
      </c>
      <c r="M64" s="35">
        <f t="shared" si="4"/>
        <v>46026</v>
      </c>
      <c r="N64" s="31">
        <f t="shared" si="3"/>
        <v>46034</v>
      </c>
      <c r="O64" s="40">
        <v>46027.0</v>
      </c>
      <c r="P64" s="40">
        <v>46039.0</v>
      </c>
      <c r="S64" s="21" t="s">
        <v>23</v>
      </c>
    </row>
    <row r="65">
      <c r="A65" s="38">
        <f t="shared" si="1"/>
        <v>64</v>
      </c>
      <c r="B65" s="112" t="s">
        <v>815</v>
      </c>
      <c r="C65" s="113">
        <v>6.325042E8</v>
      </c>
      <c r="E65" s="116" t="s">
        <v>816</v>
      </c>
      <c r="G65" s="84" t="s">
        <v>18</v>
      </c>
      <c r="H65" s="55" t="s">
        <v>335</v>
      </c>
      <c r="I65" s="50" t="s">
        <v>358</v>
      </c>
      <c r="J65" s="115" t="s">
        <v>359</v>
      </c>
      <c r="L65" s="115" t="s">
        <v>812</v>
      </c>
      <c r="M65" s="35">
        <f t="shared" si="4"/>
        <v>46026</v>
      </c>
      <c r="N65" s="31">
        <f t="shared" si="3"/>
        <v>46034</v>
      </c>
      <c r="O65" s="40">
        <v>46027.0</v>
      </c>
      <c r="P65" s="40">
        <v>46039.0</v>
      </c>
      <c r="S65" s="21" t="s">
        <v>23</v>
      </c>
    </row>
    <row r="66">
      <c r="A66" s="38">
        <f t="shared" si="1"/>
        <v>65</v>
      </c>
      <c r="E66" s="117" t="s">
        <v>817</v>
      </c>
      <c r="G66" s="84" t="s">
        <v>18</v>
      </c>
      <c r="H66" s="7" t="s">
        <v>126</v>
      </c>
      <c r="I66" s="21" t="s">
        <v>40</v>
      </c>
      <c r="J66" s="115" t="s">
        <v>30</v>
      </c>
      <c r="L66" s="115" t="s">
        <v>812</v>
      </c>
      <c r="M66" s="35">
        <f t="shared" si="4"/>
        <v>46026</v>
      </c>
      <c r="N66" s="31">
        <f t="shared" si="3"/>
        <v>46034</v>
      </c>
      <c r="O66" s="40">
        <v>46027.0</v>
      </c>
      <c r="P66" s="40">
        <v>46038.0</v>
      </c>
      <c r="S66" s="21" t="s">
        <v>23</v>
      </c>
    </row>
    <row r="67">
      <c r="A67" s="38">
        <f t="shared" si="1"/>
        <v>66</v>
      </c>
      <c r="E67" s="117" t="s">
        <v>818</v>
      </c>
      <c r="G67" s="84" t="s">
        <v>18</v>
      </c>
      <c r="H67" s="7" t="s">
        <v>126</v>
      </c>
      <c r="I67" s="21" t="s">
        <v>40</v>
      </c>
      <c r="J67" s="115" t="s">
        <v>30</v>
      </c>
      <c r="L67" s="115" t="s">
        <v>812</v>
      </c>
      <c r="M67" s="35">
        <f t="shared" si="4"/>
        <v>46026</v>
      </c>
      <c r="N67" s="31">
        <f t="shared" si="3"/>
        <v>46034</v>
      </c>
      <c r="O67" s="40">
        <v>46027.0</v>
      </c>
      <c r="P67" s="40">
        <v>46038.0</v>
      </c>
      <c r="S67" s="21" t="s">
        <v>23</v>
      </c>
    </row>
    <row r="68">
      <c r="A68" s="38">
        <f t="shared" si="1"/>
        <v>67</v>
      </c>
      <c r="E68" s="117" t="s">
        <v>819</v>
      </c>
      <c r="G68" s="84" t="s">
        <v>18</v>
      </c>
      <c r="H68" s="7" t="s">
        <v>126</v>
      </c>
      <c r="I68" s="21" t="s">
        <v>40</v>
      </c>
      <c r="J68" s="115" t="s">
        <v>30</v>
      </c>
      <c r="L68" s="115" t="s">
        <v>812</v>
      </c>
      <c r="M68" s="35">
        <f t="shared" si="4"/>
        <v>46026</v>
      </c>
      <c r="N68" s="31">
        <f t="shared" si="3"/>
        <v>46034</v>
      </c>
      <c r="O68" s="40">
        <v>46027.0</v>
      </c>
      <c r="P68" s="40">
        <v>46038.0</v>
      </c>
      <c r="S68" s="21" t="s">
        <v>23</v>
      </c>
    </row>
    <row r="69">
      <c r="A69" s="38">
        <f t="shared" si="1"/>
        <v>68</v>
      </c>
      <c r="E69" s="117" t="s">
        <v>820</v>
      </c>
      <c r="G69" s="84" t="s">
        <v>18</v>
      </c>
      <c r="H69" s="7" t="s">
        <v>126</v>
      </c>
      <c r="I69" s="21" t="s">
        <v>40</v>
      </c>
      <c r="J69" s="115" t="s">
        <v>30</v>
      </c>
      <c r="L69" s="115" t="s">
        <v>812</v>
      </c>
      <c r="M69" s="35">
        <f t="shared" si="4"/>
        <v>46026</v>
      </c>
      <c r="N69" s="31">
        <f t="shared" si="3"/>
        <v>46034</v>
      </c>
      <c r="O69" s="40">
        <v>46027.0</v>
      </c>
      <c r="P69" s="40">
        <v>46038.0</v>
      </c>
      <c r="S69" s="21" t="s">
        <v>23</v>
      </c>
    </row>
    <row r="70">
      <c r="A70" s="38">
        <f t="shared" si="1"/>
        <v>69</v>
      </c>
      <c r="E70" s="117" t="s">
        <v>821</v>
      </c>
      <c r="G70" s="84" t="s">
        <v>18</v>
      </c>
      <c r="H70" s="7" t="s">
        <v>126</v>
      </c>
      <c r="I70" s="21" t="s">
        <v>40</v>
      </c>
      <c r="J70" s="115" t="s">
        <v>30</v>
      </c>
      <c r="L70" s="115" t="s">
        <v>812</v>
      </c>
      <c r="M70" s="35">
        <f t="shared" si="4"/>
        <v>46026</v>
      </c>
      <c r="N70" s="31">
        <f t="shared" si="3"/>
        <v>46034</v>
      </c>
      <c r="O70" s="40">
        <v>46027.0</v>
      </c>
      <c r="P70" s="40">
        <v>46038.0</v>
      </c>
      <c r="S70" s="21" t="s">
        <v>23</v>
      </c>
    </row>
    <row r="71">
      <c r="A71" s="38">
        <f t="shared" si="1"/>
        <v>70</v>
      </c>
      <c r="E71" s="117" t="s">
        <v>822</v>
      </c>
      <c r="G71" s="84" t="s">
        <v>18</v>
      </c>
      <c r="H71" s="7" t="s">
        <v>126</v>
      </c>
      <c r="I71" s="21" t="s">
        <v>40</v>
      </c>
      <c r="J71" s="115" t="s">
        <v>30</v>
      </c>
      <c r="L71" s="115" t="s">
        <v>812</v>
      </c>
      <c r="M71" s="35">
        <f t="shared" si="4"/>
        <v>46026</v>
      </c>
      <c r="N71" s="31">
        <f t="shared" si="3"/>
        <v>46034</v>
      </c>
      <c r="O71" s="40">
        <v>46027.0</v>
      </c>
      <c r="P71" s="40">
        <v>46038.0</v>
      </c>
      <c r="S71" s="21" t="s">
        <v>23</v>
      </c>
    </row>
    <row r="72">
      <c r="A72" s="38">
        <f t="shared" si="1"/>
        <v>71</v>
      </c>
      <c r="E72" s="117" t="s">
        <v>823</v>
      </c>
      <c r="G72" s="84" t="s">
        <v>18</v>
      </c>
      <c r="H72" s="7" t="s">
        <v>126</v>
      </c>
      <c r="I72" s="21" t="s">
        <v>40</v>
      </c>
      <c r="J72" s="115" t="s">
        <v>30</v>
      </c>
      <c r="L72" s="115" t="s">
        <v>812</v>
      </c>
      <c r="M72" s="35">
        <f t="shared" si="4"/>
        <v>46026</v>
      </c>
      <c r="N72" s="31">
        <f t="shared" si="3"/>
        <v>46034</v>
      </c>
      <c r="O72" s="40">
        <v>46027.0</v>
      </c>
      <c r="P72" s="40">
        <v>46038.0</v>
      </c>
      <c r="S72" s="21" t="s">
        <v>23</v>
      </c>
    </row>
    <row r="73">
      <c r="A73" s="38">
        <f t="shared" si="1"/>
        <v>72</v>
      </c>
      <c r="E73" s="21" t="s">
        <v>824</v>
      </c>
      <c r="G73" s="84" t="s">
        <v>18</v>
      </c>
      <c r="H73" s="7" t="s">
        <v>126</v>
      </c>
      <c r="I73" s="21" t="s">
        <v>40</v>
      </c>
      <c r="J73" s="115" t="s">
        <v>30</v>
      </c>
      <c r="L73" s="115" t="s">
        <v>825</v>
      </c>
      <c r="M73" s="35">
        <f t="shared" si="4"/>
        <v>46029</v>
      </c>
      <c r="N73" s="31">
        <f t="shared" si="3"/>
        <v>46037</v>
      </c>
      <c r="O73" s="40">
        <v>46029.0</v>
      </c>
      <c r="P73" s="40">
        <v>46039.0</v>
      </c>
      <c r="S73" s="21" t="s">
        <v>23</v>
      </c>
    </row>
    <row r="74">
      <c r="A74" s="38">
        <f t="shared" si="1"/>
        <v>73</v>
      </c>
      <c r="E74" s="21" t="s">
        <v>826</v>
      </c>
      <c r="G74" s="84" t="s">
        <v>18</v>
      </c>
      <c r="H74" s="7" t="s">
        <v>126</v>
      </c>
      <c r="I74" s="21" t="s">
        <v>40</v>
      </c>
      <c r="J74" s="115" t="s">
        <v>30</v>
      </c>
      <c r="L74" s="115" t="s">
        <v>825</v>
      </c>
      <c r="M74" s="35">
        <f t="shared" si="4"/>
        <v>46029</v>
      </c>
      <c r="N74" s="31">
        <f t="shared" si="3"/>
        <v>46037</v>
      </c>
      <c r="O74" s="40">
        <v>46029.0</v>
      </c>
      <c r="P74" s="40">
        <v>46039.0</v>
      </c>
      <c r="S74" s="21" t="s">
        <v>23</v>
      </c>
    </row>
    <row r="75">
      <c r="A75" s="38">
        <f t="shared" si="1"/>
        <v>74</v>
      </c>
      <c r="E75" s="21" t="s">
        <v>827</v>
      </c>
      <c r="G75" s="84" t="s">
        <v>18</v>
      </c>
      <c r="H75" s="7" t="s">
        <v>126</v>
      </c>
      <c r="I75" s="21" t="s">
        <v>40</v>
      </c>
      <c r="J75" s="115" t="s">
        <v>30</v>
      </c>
      <c r="L75" s="115" t="s">
        <v>825</v>
      </c>
      <c r="M75" s="35">
        <f t="shared" si="4"/>
        <v>46029</v>
      </c>
      <c r="N75" s="31">
        <f t="shared" si="3"/>
        <v>46037</v>
      </c>
      <c r="O75" s="40">
        <v>46029.0</v>
      </c>
      <c r="P75" s="40">
        <v>46039.0</v>
      </c>
      <c r="S75" s="21" t="s">
        <v>23</v>
      </c>
    </row>
    <row r="76">
      <c r="A76" s="38">
        <f t="shared" si="1"/>
        <v>75</v>
      </c>
      <c r="E76" s="21" t="s">
        <v>828</v>
      </c>
      <c r="G76" s="84" t="s">
        <v>18</v>
      </c>
      <c r="H76" s="7" t="s">
        <v>126</v>
      </c>
      <c r="I76" s="21" t="s">
        <v>40</v>
      </c>
      <c r="J76" s="115" t="s">
        <v>30</v>
      </c>
      <c r="L76" s="115" t="s">
        <v>825</v>
      </c>
      <c r="M76" s="35">
        <f t="shared" si="4"/>
        <v>46029</v>
      </c>
      <c r="N76" s="31">
        <f t="shared" si="3"/>
        <v>46037</v>
      </c>
      <c r="O76" s="40">
        <v>46029.0</v>
      </c>
      <c r="P76" s="40">
        <v>46039.0</v>
      </c>
      <c r="S76" s="21" t="s">
        <v>23</v>
      </c>
    </row>
    <row r="77">
      <c r="A77" s="38">
        <f t="shared" si="1"/>
        <v>76</v>
      </c>
      <c r="E77" s="21" t="s">
        <v>829</v>
      </c>
      <c r="G77" s="84" t="s">
        <v>18</v>
      </c>
      <c r="H77" s="7" t="s">
        <v>126</v>
      </c>
      <c r="I77" s="21" t="s">
        <v>40</v>
      </c>
      <c r="J77" s="115" t="s">
        <v>30</v>
      </c>
      <c r="L77" s="115" t="s">
        <v>825</v>
      </c>
      <c r="M77" s="35">
        <f t="shared" si="4"/>
        <v>46029</v>
      </c>
      <c r="N77" s="31">
        <f t="shared" si="3"/>
        <v>46037</v>
      </c>
      <c r="O77" s="40">
        <v>46029.0</v>
      </c>
      <c r="P77" s="40">
        <v>46039.0</v>
      </c>
      <c r="S77" s="21" t="s">
        <v>23</v>
      </c>
    </row>
    <row r="78">
      <c r="A78" s="38">
        <f t="shared" si="1"/>
        <v>77</v>
      </c>
      <c r="B78" s="115" t="s">
        <v>830</v>
      </c>
      <c r="C78" s="118">
        <v>6.32504262E8</v>
      </c>
      <c r="E78" s="119" t="s">
        <v>831</v>
      </c>
      <c r="G78" s="84" t="s">
        <v>18</v>
      </c>
      <c r="H78" s="59" t="s">
        <v>273</v>
      </c>
      <c r="I78" s="50" t="s">
        <v>358</v>
      </c>
      <c r="J78" s="115" t="s">
        <v>359</v>
      </c>
      <c r="L78" s="115" t="s">
        <v>832</v>
      </c>
      <c r="M78" s="35">
        <f t="shared" si="4"/>
        <v>46030</v>
      </c>
      <c r="N78" s="31">
        <f t="shared" si="3"/>
        <v>46038</v>
      </c>
      <c r="O78" s="40">
        <v>46036.0</v>
      </c>
      <c r="P78" s="40">
        <v>46039.0</v>
      </c>
      <c r="S78" s="21" t="s">
        <v>23</v>
      </c>
    </row>
    <row r="79" ht="16.5" customHeight="1">
      <c r="A79" s="21">
        <v>78.0</v>
      </c>
      <c r="B79" s="62" t="s">
        <v>833</v>
      </c>
      <c r="C79" s="120">
        <v>7.92515375E8</v>
      </c>
      <c r="D79" s="112" t="s">
        <v>834</v>
      </c>
      <c r="E79" s="121" t="s">
        <v>835</v>
      </c>
      <c r="G79" s="121" t="s">
        <v>18</v>
      </c>
      <c r="H79" s="122" t="s">
        <v>836</v>
      </c>
      <c r="I79" s="122" t="s">
        <v>836</v>
      </c>
      <c r="J79" s="123" t="s">
        <v>359</v>
      </c>
      <c r="K79" s="123"/>
      <c r="L79" s="124">
        <v>46010.0</v>
      </c>
      <c r="M79" s="35">
        <f t="shared" si="4"/>
        <v>46021</v>
      </c>
      <c r="N79" s="31">
        <f t="shared" si="3"/>
        <v>46029</v>
      </c>
      <c r="O79" s="60">
        <v>45994.0</v>
      </c>
      <c r="P79" s="40">
        <v>46038.0</v>
      </c>
      <c r="S79" s="21" t="s">
        <v>23</v>
      </c>
    </row>
  </sheetData>
  <dataValidations>
    <dataValidation type="list" allowBlank="1" showErrorMessage="1" sqref="S1:S79">
      <formula1>"Released,Ongoing,Pending"</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2" max="2" width="18.0"/>
    <col customWidth="1" min="3" max="3" width="18.75"/>
    <col customWidth="1" min="4" max="4" width="46.38"/>
    <col customWidth="1" min="5" max="5" width="59.88"/>
    <col customWidth="1" min="6" max="6" width="14.25"/>
    <col customWidth="1" min="7" max="7" width="48.63"/>
    <col customWidth="1" min="8" max="8" width="50.63"/>
    <col customWidth="1" min="9" max="9" width="22.63"/>
    <col customWidth="1" min="10" max="10" width="15.25"/>
    <col customWidth="1" min="11" max="11" width="9.0"/>
    <col customWidth="1" min="12" max="12" width="17.0"/>
    <col customWidth="1" min="13" max="13" width="16.13"/>
    <col customWidth="1" min="14" max="14" width="13.38"/>
    <col customWidth="1" min="15" max="15" width="16.63"/>
    <col customWidth="1" min="16" max="16" width="24.75"/>
    <col customWidth="1" min="17" max="17" width="18.63"/>
    <col customWidth="1" min="18" max="18" width="21.38"/>
  </cols>
  <sheetData>
    <row r="1">
      <c r="A1" s="21" t="s">
        <v>837</v>
      </c>
      <c r="B1" s="2" t="s">
        <v>1</v>
      </c>
      <c r="C1" s="2" t="s">
        <v>2</v>
      </c>
      <c r="D1" s="125" t="s">
        <v>3</v>
      </c>
      <c r="E1" s="2" t="s">
        <v>4</v>
      </c>
      <c r="F1" s="17" t="s">
        <v>336</v>
      </c>
      <c r="G1" s="2" t="s">
        <v>5</v>
      </c>
      <c r="H1" s="17" t="s">
        <v>838</v>
      </c>
      <c r="I1" s="17" t="s">
        <v>34</v>
      </c>
      <c r="J1" s="2" t="s">
        <v>7</v>
      </c>
      <c r="K1" s="2" t="s">
        <v>35</v>
      </c>
      <c r="L1" s="37" t="s">
        <v>9</v>
      </c>
      <c r="M1" s="37" t="s">
        <v>245</v>
      </c>
      <c r="N1" s="37" t="s">
        <v>246</v>
      </c>
      <c r="O1" s="17" t="s">
        <v>337</v>
      </c>
      <c r="P1" s="2" t="s">
        <v>12</v>
      </c>
      <c r="Q1" s="17" t="s">
        <v>338</v>
      </c>
      <c r="R1" s="2" t="s">
        <v>270</v>
      </c>
      <c r="S1" s="3" t="s">
        <v>15</v>
      </c>
    </row>
    <row r="2">
      <c r="A2" s="38">
        <f t="shared" ref="A2:A79" si="1">row(A2)-1</f>
        <v>1</v>
      </c>
      <c r="B2" s="21" t="s">
        <v>839</v>
      </c>
      <c r="C2" s="21">
        <v>6.32504367E8</v>
      </c>
      <c r="D2" s="41" t="s">
        <v>781</v>
      </c>
      <c r="E2" s="21" t="s">
        <v>840</v>
      </c>
      <c r="G2" s="21" t="s">
        <v>18</v>
      </c>
      <c r="H2" s="21" t="s">
        <v>40</v>
      </c>
      <c r="I2" s="7" t="s">
        <v>126</v>
      </c>
      <c r="J2" s="21" t="s">
        <v>368</v>
      </c>
      <c r="L2" s="103">
        <v>46025.0</v>
      </c>
      <c r="M2" s="35">
        <f t="shared" ref="M2:M79" si="2">L2+11</f>
        <v>46036</v>
      </c>
      <c r="N2" s="31">
        <f t="shared" ref="N2:N79" si="3">L2+19</f>
        <v>46044</v>
      </c>
      <c r="O2" s="40">
        <v>46036.0</v>
      </c>
      <c r="P2" s="40">
        <v>46046.0</v>
      </c>
      <c r="S2" s="21" t="s">
        <v>23</v>
      </c>
    </row>
    <row r="3">
      <c r="A3" s="38">
        <f t="shared" si="1"/>
        <v>2</v>
      </c>
      <c r="B3" s="21" t="s">
        <v>841</v>
      </c>
      <c r="C3" s="21">
        <v>6.32504368E8</v>
      </c>
      <c r="D3" s="41" t="s">
        <v>781</v>
      </c>
      <c r="E3" s="21" t="s">
        <v>842</v>
      </c>
      <c r="G3" s="21" t="s">
        <v>18</v>
      </c>
      <c r="H3" s="21" t="s">
        <v>40</v>
      </c>
      <c r="I3" s="7" t="s">
        <v>126</v>
      </c>
      <c r="J3" s="21" t="s">
        <v>368</v>
      </c>
      <c r="L3" s="103">
        <v>46025.0</v>
      </c>
      <c r="M3" s="35">
        <f t="shared" si="2"/>
        <v>46036</v>
      </c>
      <c r="N3" s="31">
        <f t="shared" si="3"/>
        <v>46044</v>
      </c>
      <c r="O3" s="40">
        <v>46036.0</v>
      </c>
      <c r="P3" s="40">
        <v>46046.0</v>
      </c>
      <c r="S3" s="21" t="s">
        <v>23</v>
      </c>
    </row>
    <row r="4">
      <c r="A4" s="38">
        <f t="shared" si="1"/>
        <v>3</v>
      </c>
      <c r="B4" s="21" t="s">
        <v>843</v>
      </c>
      <c r="C4" s="21">
        <v>6.32504369E8</v>
      </c>
      <c r="D4" s="41" t="s">
        <v>781</v>
      </c>
      <c r="E4" s="21" t="s">
        <v>844</v>
      </c>
      <c r="G4" s="21" t="s">
        <v>18</v>
      </c>
      <c r="H4" s="21" t="s">
        <v>40</v>
      </c>
      <c r="I4" s="7" t="s">
        <v>126</v>
      </c>
      <c r="J4" s="21" t="s">
        <v>368</v>
      </c>
      <c r="L4" s="103">
        <v>46025.0</v>
      </c>
      <c r="M4" s="35">
        <f t="shared" si="2"/>
        <v>46036</v>
      </c>
      <c r="N4" s="31">
        <f t="shared" si="3"/>
        <v>46044</v>
      </c>
      <c r="O4" s="40">
        <v>46036.0</v>
      </c>
      <c r="P4" s="40">
        <v>46046.0</v>
      </c>
      <c r="S4" s="21" t="s">
        <v>23</v>
      </c>
    </row>
    <row r="5">
      <c r="A5" s="38">
        <f t="shared" si="1"/>
        <v>4</v>
      </c>
      <c r="B5" s="21" t="s">
        <v>845</v>
      </c>
      <c r="C5" s="21">
        <v>6.3250437E8</v>
      </c>
      <c r="D5" s="41" t="s">
        <v>781</v>
      </c>
      <c r="E5" s="21" t="s">
        <v>846</v>
      </c>
      <c r="G5" s="21" t="s">
        <v>18</v>
      </c>
      <c r="H5" s="21" t="s">
        <v>40</v>
      </c>
      <c r="I5" s="7" t="s">
        <v>126</v>
      </c>
      <c r="J5" s="21" t="s">
        <v>368</v>
      </c>
      <c r="L5" s="103">
        <v>46025.0</v>
      </c>
      <c r="M5" s="35">
        <f t="shared" si="2"/>
        <v>46036</v>
      </c>
      <c r="N5" s="31">
        <f t="shared" si="3"/>
        <v>46044</v>
      </c>
      <c r="O5" s="40">
        <v>46036.0</v>
      </c>
      <c r="P5" s="40">
        <v>46046.0</v>
      </c>
      <c r="S5" s="21" t="s">
        <v>23</v>
      </c>
    </row>
    <row r="6">
      <c r="A6" s="38">
        <f t="shared" si="1"/>
        <v>5</v>
      </c>
      <c r="B6" s="21" t="s">
        <v>847</v>
      </c>
      <c r="C6" s="21">
        <v>6.32504371E8</v>
      </c>
      <c r="D6" s="41" t="s">
        <v>781</v>
      </c>
      <c r="E6" s="21" t="s">
        <v>848</v>
      </c>
      <c r="G6" s="21" t="s">
        <v>18</v>
      </c>
      <c r="H6" s="21" t="s">
        <v>40</v>
      </c>
      <c r="I6" s="7" t="s">
        <v>126</v>
      </c>
      <c r="J6" s="21" t="s">
        <v>368</v>
      </c>
      <c r="L6" s="103">
        <v>46025.0</v>
      </c>
      <c r="M6" s="35">
        <f t="shared" si="2"/>
        <v>46036</v>
      </c>
      <c r="N6" s="31">
        <f t="shared" si="3"/>
        <v>46044</v>
      </c>
      <c r="O6" s="40">
        <v>46036.0</v>
      </c>
      <c r="P6" s="40">
        <v>46046.0</v>
      </c>
      <c r="S6" s="21" t="s">
        <v>23</v>
      </c>
    </row>
    <row r="7">
      <c r="A7" s="38">
        <f t="shared" si="1"/>
        <v>6</v>
      </c>
      <c r="B7" s="21" t="s">
        <v>849</v>
      </c>
      <c r="C7" s="21">
        <v>6.32504372E8</v>
      </c>
      <c r="D7" s="41" t="s">
        <v>781</v>
      </c>
      <c r="E7" s="21" t="s">
        <v>850</v>
      </c>
      <c r="G7" s="21" t="s">
        <v>18</v>
      </c>
      <c r="H7" s="21" t="s">
        <v>40</v>
      </c>
      <c r="I7" s="7" t="s">
        <v>126</v>
      </c>
      <c r="J7" s="21" t="s">
        <v>368</v>
      </c>
      <c r="L7" s="103">
        <v>46025.0</v>
      </c>
      <c r="M7" s="35">
        <f t="shared" si="2"/>
        <v>46036</v>
      </c>
      <c r="N7" s="31">
        <f t="shared" si="3"/>
        <v>46044</v>
      </c>
      <c r="O7" s="40">
        <v>46036.0</v>
      </c>
      <c r="P7" s="40">
        <v>46046.0</v>
      </c>
      <c r="S7" s="21" t="s">
        <v>23</v>
      </c>
    </row>
    <row r="8">
      <c r="A8" s="38">
        <f t="shared" si="1"/>
        <v>7</v>
      </c>
      <c r="B8" s="21" t="s">
        <v>851</v>
      </c>
      <c r="C8" s="21">
        <v>6.32504373E8</v>
      </c>
      <c r="D8" s="41" t="s">
        <v>781</v>
      </c>
      <c r="E8" s="21" t="s">
        <v>852</v>
      </c>
      <c r="G8" s="21" t="s">
        <v>18</v>
      </c>
      <c r="H8" s="21" t="s">
        <v>40</v>
      </c>
      <c r="I8" s="7" t="s">
        <v>126</v>
      </c>
      <c r="J8" s="21" t="s">
        <v>368</v>
      </c>
      <c r="L8" s="103">
        <v>46025.0</v>
      </c>
      <c r="M8" s="35">
        <f t="shared" si="2"/>
        <v>46036</v>
      </c>
      <c r="N8" s="31">
        <f t="shared" si="3"/>
        <v>46044</v>
      </c>
      <c r="O8" s="40">
        <v>46036.0</v>
      </c>
      <c r="P8" s="40">
        <v>46046.0</v>
      </c>
      <c r="S8" s="21" t="s">
        <v>23</v>
      </c>
    </row>
    <row r="9">
      <c r="A9" s="38">
        <f t="shared" si="1"/>
        <v>8</v>
      </c>
      <c r="B9" s="21" t="s">
        <v>853</v>
      </c>
      <c r="C9" s="21">
        <v>6.32504374E8</v>
      </c>
      <c r="D9" s="41" t="s">
        <v>781</v>
      </c>
      <c r="E9" s="21" t="s">
        <v>854</v>
      </c>
      <c r="G9" s="21" t="s">
        <v>18</v>
      </c>
      <c r="H9" s="21" t="s">
        <v>40</v>
      </c>
      <c r="I9" s="7" t="s">
        <v>126</v>
      </c>
      <c r="J9" s="21" t="s">
        <v>368</v>
      </c>
      <c r="L9" s="103">
        <v>46025.0</v>
      </c>
      <c r="M9" s="35">
        <f t="shared" si="2"/>
        <v>46036</v>
      </c>
      <c r="N9" s="31">
        <f t="shared" si="3"/>
        <v>46044</v>
      </c>
      <c r="O9" s="40">
        <v>46036.0</v>
      </c>
      <c r="P9" s="40">
        <v>46046.0</v>
      </c>
      <c r="S9" s="21" t="s">
        <v>23</v>
      </c>
    </row>
    <row r="10">
      <c r="A10" s="38">
        <f t="shared" si="1"/>
        <v>9</v>
      </c>
      <c r="B10" s="21" t="s">
        <v>855</v>
      </c>
      <c r="C10" s="21">
        <v>6.32504375E8</v>
      </c>
      <c r="D10" s="41" t="s">
        <v>781</v>
      </c>
      <c r="E10" s="21" t="s">
        <v>856</v>
      </c>
      <c r="G10" s="21" t="s">
        <v>18</v>
      </c>
      <c r="H10" s="21" t="s">
        <v>40</v>
      </c>
      <c r="I10" s="7" t="s">
        <v>126</v>
      </c>
      <c r="J10" s="21" t="s">
        <v>368</v>
      </c>
      <c r="L10" s="103">
        <v>46025.0</v>
      </c>
      <c r="M10" s="35">
        <f t="shared" si="2"/>
        <v>46036</v>
      </c>
      <c r="N10" s="31">
        <f t="shared" si="3"/>
        <v>46044</v>
      </c>
      <c r="O10" s="40">
        <v>46036.0</v>
      </c>
      <c r="P10" s="40">
        <v>46046.0</v>
      </c>
      <c r="S10" s="21" t="s">
        <v>23</v>
      </c>
    </row>
    <row r="11">
      <c r="A11" s="38">
        <f t="shared" si="1"/>
        <v>10</v>
      </c>
      <c r="B11" s="21" t="s">
        <v>857</v>
      </c>
      <c r="C11" s="21">
        <v>6.3250436E8</v>
      </c>
      <c r="D11" s="41" t="s">
        <v>858</v>
      </c>
      <c r="E11" s="21" t="s">
        <v>859</v>
      </c>
      <c r="G11" s="21" t="s">
        <v>624</v>
      </c>
      <c r="H11" s="21" t="s">
        <v>264</v>
      </c>
      <c r="I11" s="59" t="s">
        <v>273</v>
      </c>
      <c r="J11" s="21" t="s">
        <v>359</v>
      </c>
      <c r="L11" s="103">
        <v>46025.0</v>
      </c>
      <c r="M11" s="35">
        <f t="shared" si="2"/>
        <v>46036</v>
      </c>
      <c r="N11" s="31">
        <f t="shared" si="3"/>
        <v>46044</v>
      </c>
      <c r="O11" s="40">
        <v>46036.0</v>
      </c>
      <c r="P11" s="40">
        <v>46052.0</v>
      </c>
      <c r="S11" s="21" t="s">
        <v>23</v>
      </c>
    </row>
    <row r="12">
      <c r="A12" s="38">
        <f t="shared" si="1"/>
        <v>11</v>
      </c>
      <c r="B12" s="21" t="s">
        <v>860</v>
      </c>
      <c r="C12" s="21">
        <v>6.32504356E8</v>
      </c>
      <c r="D12" s="41" t="s">
        <v>781</v>
      </c>
      <c r="E12" s="21" t="s">
        <v>861</v>
      </c>
      <c r="G12" s="21" t="s">
        <v>18</v>
      </c>
      <c r="H12" s="21" t="s">
        <v>264</v>
      </c>
      <c r="I12" s="59" t="s">
        <v>273</v>
      </c>
      <c r="J12" s="21" t="s">
        <v>359</v>
      </c>
      <c r="K12" s="21" t="s">
        <v>862</v>
      </c>
      <c r="L12" s="103">
        <v>46026.0</v>
      </c>
      <c r="M12" s="35">
        <f t="shared" si="2"/>
        <v>46037</v>
      </c>
      <c r="N12" s="31">
        <f t="shared" si="3"/>
        <v>46045</v>
      </c>
      <c r="O12" s="40">
        <v>46036.0</v>
      </c>
      <c r="P12" s="40">
        <v>46052.0</v>
      </c>
      <c r="S12" s="21" t="s">
        <v>23</v>
      </c>
    </row>
    <row r="13">
      <c r="A13" s="38">
        <f t="shared" si="1"/>
        <v>12</v>
      </c>
      <c r="B13" s="21" t="s">
        <v>837</v>
      </c>
      <c r="C13" s="21">
        <v>6.32504357E8</v>
      </c>
      <c r="D13" s="41" t="s">
        <v>781</v>
      </c>
      <c r="E13" s="21" t="s">
        <v>863</v>
      </c>
      <c r="G13" s="21" t="s">
        <v>18</v>
      </c>
      <c r="H13" s="21" t="s">
        <v>264</v>
      </c>
      <c r="I13" s="59" t="s">
        <v>273</v>
      </c>
      <c r="J13" s="21" t="s">
        <v>359</v>
      </c>
      <c r="K13" s="21" t="s">
        <v>864</v>
      </c>
      <c r="L13" s="103">
        <v>46026.0</v>
      </c>
      <c r="M13" s="35">
        <f t="shared" si="2"/>
        <v>46037</v>
      </c>
      <c r="N13" s="31">
        <f t="shared" si="3"/>
        <v>46045</v>
      </c>
      <c r="O13" s="40">
        <v>46036.0</v>
      </c>
      <c r="P13" s="40">
        <v>46052.0</v>
      </c>
      <c r="S13" s="21" t="s">
        <v>23</v>
      </c>
    </row>
    <row r="14">
      <c r="A14" s="38">
        <f t="shared" si="1"/>
        <v>13</v>
      </c>
      <c r="B14" s="21" t="s">
        <v>865</v>
      </c>
      <c r="C14" s="21">
        <v>6.32504358E8</v>
      </c>
      <c r="D14" s="41" t="s">
        <v>781</v>
      </c>
      <c r="E14" s="21" t="s">
        <v>866</v>
      </c>
      <c r="G14" s="21" t="s">
        <v>18</v>
      </c>
      <c r="H14" s="21" t="s">
        <v>264</v>
      </c>
      <c r="I14" s="59" t="s">
        <v>273</v>
      </c>
      <c r="J14" s="21" t="s">
        <v>359</v>
      </c>
      <c r="K14" s="21" t="s">
        <v>867</v>
      </c>
      <c r="L14" s="103">
        <v>46026.0</v>
      </c>
      <c r="M14" s="35">
        <f t="shared" si="2"/>
        <v>46037</v>
      </c>
      <c r="N14" s="31">
        <f t="shared" si="3"/>
        <v>46045</v>
      </c>
      <c r="O14" s="40">
        <v>46036.0</v>
      </c>
      <c r="P14" s="40">
        <v>46052.0</v>
      </c>
      <c r="S14" s="21" t="s">
        <v>23</v>
      </c>
    </row>
    <row r="15">
      <c r="A15" s="38">
        <f t="shared" si="1"/>
        <v>14</v>
      </c>
      <c r="B15" s="21" t="s">
        <v>868</v>
      </c>
      <c r="C15" s="21">
        <v>6.32504359E8</v>
      </c>
      <c r="D15" s="41" t="s">
        <v>781</v>
      </c>
      <c r="E15" s="21" t="s">
        <v>869</v>
      </c>
      <c r="G15" s="21" t="s">
        <v>18</v>
      </c>
      <c r="H15" s="21" t="s">
        <v>264</v>
      </c>
      <c r="I15" s="59" t="s">
        <v>273</v>
      </c>
      <c r="J15" s="21" t="s">
        <v>359</v>
      </c>
      <c r="K15" s="21" t="s">
        <v>870</v>
      </c>
      <c r="L15" s="103">
        <v>46026.0</v>
      </c>
      <c r="M15" s="35">
        <f t="shared" si="2"/>
        <v>46037</v>
      </c>
      <c r="N15" s="31">
        <f t="shared" si="3"/>
        <v>46045</v>
      </c>
      <c r="O15" s="40">
        <v>46036.0</v>
      </c>
      <c r="P15" s="40">
        <v>46052.0</v>
      </c>
      <c r="S15" s="21" t="s">
        <v>23</v>
      </c>
    </row>
    <row r="16">
      <c r="A16" s="38">
        <f t="shared" si="1"/>
        <v>15</v>
      </c>
      <c r="B16" s="21" t="s">
        <v>871</v>
      </c>
      <c r="C16" s="21">
        <v>6.32504361E8</v>
      </c>
      <c r="D16" s="41" t="s">
        <v>781</v>
      </c>
      <c r="E16" s="21" t="s">
        <v>872</v>
      </c>
      <c r="G16" s="21" t="s">
        <v>18</v>
      </c>
      <c r="H16" s="21" t="s">
        <v>264</v>
      </c>
      <c r="I16" s="59" t="s">
        <v>273</v>
      </c>
      <c r="J16" s="21" t="s">
        <v>359</v>
      </c>
      <c r="K16" s="21" t="s">
        <v>873</v>
      </c>
      <c r="L16" s="103">
        <v>46026.0</v>
      </c>
      <c r="M16" s="35">
        <f t="shared" si="2"/>
        <v>46037</v>
      </c>
      <c r="N16" s="31">
        <f t="shared" si="3"/>
        <v>46045</v>
      </c>
      <c r="O16" s="40">
        <v>46036.0</v>
      </c>
      <c r="P16" s="40">
        <v>46052.0</v>
      </c>
      <c r="S16" s="21" t="s">
        <v>23</v>
      </c>
    </row>
    <row r="17">
      <c r="A17" s="38">
        <f t="shared" si="1"/>
        <v>16</v>
      </c>
      <c r="B17" s="115" t="s">
        <v>874</v>
      </c>
      <c r="C17" s="118">
        <v>6.32504475E8</v>
      </c>
      <c r="D17" s="126" t="s">
        <v>781</v>
      </c>
      <c r="E17" s="127" t="s">
        <v>875</v>
      </c>
      <c r="G17" s="127" t="s">
        <v>18</v>
      </c>
      <c r="H17" s="127" t="s">
        <v>40</v>
      </c>
      <c r="I17" s="7" t="s">
        <v>126</v>
      </c>
      <c r="J17" s="115" t="s">
        <v>368</v>
      </c>
      <c r="L17" s="103">
        <v>46028.0</v>
      </c>
      <c r="M17" s="35">
        <f t="shared" si="2"/>
        <v>46039</v>
      </c>
      <c r="N17" s="31">
        <f t="shared" si="3"/>
        <v>46047</v>
      </c>
      <c r="O17" s="40">
        <v>46039.0</v>
      </c>
      <c r="P17" s="40">
        <v>46051.0</v>
      </c>
      <c r="S17" s="21" t="s">
        <v>23</v>
      </c>
    </row>
    <row r="18">
      <c r="A18" s="38">
        <f t="shared" si="1"/>
        <v>17</v>
      </c>
      <c r="B18" s="115" t="s">
        <v>876</v>
      </c>
      <c r="C18" s="118">
        <v>6.32504476E8</v>
      </c>
      <c r="D18" s="126" t="s">
        <v>781</v>
      </c>
      <c r="E18" s="127" t="s">
        <v>877</v>
      </c>
      <c r="G18" s="127" t="s">
        <v>18</v>
      </c>
      <c r="H18" s="127" t="s">
        <v>40</v>
      </c>
      <c r="I18" s="7" t="s">
        <v>126</v>
      </c>
      <c r="J18" s="115" t="s">
        <v>368</v>
      </c>
      <c r="L18" s="103">
        <v>46028.0</v>
      </c>
      <c r="M18" s="35">
        <f t="shared" si="2"/>
        <v>46039</v>
      </c>
      <c r="N18" s="31">
        <f t="shared" si="3"/>
        <v>46047</v>
      </c>
      <c r="O18" s="40">
        <v>46039.0</v>
      </c>
      <c r="P18" s="40">
        <v>46051.0</v>
      </c>
      <c r="S18" s="21" t="s">
        <v>23</v>
      </c>
    </row>
    <row r="19">
      <c r="A19" s="38">
        <f t="shared" si="1"/>
        <v>18</v>
      </c>
      <c r="B19" s="115" t="s">
        <v>878</v>
      </c>
      <c r="C19" s="118">
        <v>6.32504493E8</v>
      </c>
      <c r="D19" s="112" t="s">
        <v>879</v>
      </c>
      <c r="E19" s="114" t="s">
        <v>880</v>
      </c>
      <c r="G19" s="114" t="s">
        <v>18</v>
      </c>
      <c r="H19" s="114" t="s">
        <v>264</v>
      </c>
      <c r="I19" s="59" t="s">
        <v>273</v>
      </c>
      <c r="J19" s="115" t="s">
        <v>359</v>
      </c>
      <c r="L19" s="103">
        <v>46031.0</v>
      </c>
      <c r="M19" s="35">
        <f t="shared" si="2"/>
        <v>46042</v>
      </c>
      <c r="N19" s="31">
        <f t="shared" si="3"/>
        <v>46050</v>
      </c>
      <c r="O19" s="40">
        <v>46042.0</v>
      </c>
      <c r="P19" s="40">
        <v>46053.0</v>
      </c>
      <c r="S19" s="21" t="s">
        <v>23</v>
      </c>
    </row>
    <row r="20">
      <c r="A20" s="38">
        <f t="shared" si="1"/>
        <v>19</v>
      </c>
      <c r="B20" s="115" t="s">
        <v>881</v>
      </c>
      <c r="C20" s="118">
        <v>6.3250449E8</v>
      </c>
      <c r="D20" s="112" t="s">
        <v>882</v>
      </c>
      <c r="E20" s="114" t="s">
        <v>883</v>
      </c>
      <c r="G20" s="114" t="s">
        <v>18</v>
      </c>
      <c r="H20" s="114" t="s">
        <v>264</v>
      </c>
      <c r="I20" s="59" t="s">
        <v>273</v>
      </c>
      <c r="J20" s="115" t="s">
        <v>359</v>
      </c>
      <c r="L20" s="103">
        <v>46031.0</v>
      </c>
      <c r="M20" s="35">
        <f t="shared" si="2"/>
        <v>46042</v>
      </c>
      <c r="N20" s="31">
        <f t="shared" si="3"/>
        <v>46050</v>
      </c>
      <c r="O20" s="40">
        <v>46042.0</v>
      </c>
      <c r="P20" s="40">
        <v>46053.0</v>
      </c>
      <c r="S20" s="21" t="s">
        <v>23</v>
      </c>
    </row>
    <row r="21">
      <c r="A21" s="38">
        <f t="shared" si="1"/>
        <v>20</v>
      </c>
      <c r="B21" s="115" t="s">
        <v>884</v>
      </c>
      <c r="C21" s="118">
        <v>6.32504489E8</v>
      </c>
      <c r="D21" s="112" t="s">
        <v>879</v>
      </c>
      <c r="E21" s="128" t="s">
        <v>885</v>
      </c>
      <c r="G21" s="114" t="s">
        <v>18</v>
      </c>
      <c r="H21" s="114" t="s">
        <v>264</v>
      </c>
      <c r="I21" s="59" t="s">
        <v>273</v>
      </c>
      <c r="J21" s="115" t="s">
        <v>359</v>
      </c>
      <c r="L21" s="103">
        <v>46031.0</v>
      </c>
      <c r="M21" s="35">
        <f t="shared" si="2"/>
        <v>46042</v>
      </c>
      <c r="N21" s="31">
        <f t="shared" si="3"/>
        <v>46050</v>
      </c>
      <c r="O21" s="40">
        <v>46042.0</v>
      </c>
      <c r="P21" s="40">
        <v>46053.0</v>
      </c>
      <c r="S21" s="21" t="s">
        <v>23</v>
      </c>
    </row>
    <row r="22">
      <c r="A22" s="38">
        <f t="shared" si="1"/>
        <v>21</v>
      </c>
      <c r="B22" s="115" t="s">
        <v>886</v>
      </c>
      <c r="C22" s="118">
        <v>6.32504491E8</v>
      </c>
      <c r="D22" s="112" t="s">
        <v>879</v>
      </c>
      <c r="E22" s="114" t="s">
        <v>887</v>
      </c>
      <c r="G22" s="114" t="s">
        <v>18</v>
      </c>
      <c r="H22" s="114" t="s">
        <v>264</v>
      </c>
      <c r="I22" s="59" t="s">
        <v>273</v>
      </c>
      <c r="J22" s="115" t="s">
        <v>359</v>
      </c>
      <c r="L22" s="103">
        <v>46031.0</v>
      </c>
      <c r="M22" s="35">
        <f t="shared" si="2"/>
        <v>46042</v>
      </c>
      <c r="N22" s="31">
        <f t="shared" si="3"/>
        <v>46050</v>
      </c>
      <c r="O22" s="40">
        <v>46042.0</v>
      </c>
      <c r="P22" s="40">
        <v>46053.0</v>
      </c>
      <c r="S22" s="21" t="s">
        <v>23</v>
      </c>
    </row>
    <row r="23">
      <c r="A23" s="38">
        <f t="shared" si="1"/>
        <v>22</v>
      </c>
      <c r="B23" s="115" t="s">
        <v>888</v>
      </c>
      <c r="C23" s="118">
        <v>6.32504505E8</v>
      </c>
      <c r="D23" s="112" t="s">
        <v>889</v>
      </c>
      <c r="E23" s="115" t="s">
        <v>890</v>
      </c>
      <c r="G23" s="115" t="s">
        <v>18</v>
      </c>
      <c r="H23" s="115" t="s">
        <v>40</v>
      </c>
      <c r="I23" s="7" t="s">
        <v>126</v>
      </c>
      <c r="J23" s="115" t="s">
        <v>368</v>
      </c>
      <c r="L23" s="103">
        <v>46032.0</v>
      </c>
      <c r="M23" s="35">
        <f t="shared" si="2"/>
        <v>46043</v>
      </c>
      <c r="N23" s="31">
        <f t="shared" si="3"/>
        <v>46051</v>
      </c>
      <c r="O23" s="40">
        <v>46043.0</v>
      </c>
      <c r="P23" s="40">
        <v>46052.0</v>
      </c>
      <c r="S23" s="21" t="s">
        <v>23</v>
      </c>
    </row>
    <row r="24">
      <c r="A24" s="38">
        <f t="shared" si="1"/>
        <v>23</v>
      </c>
      <c r="B24" s="115" t="s">
        <v>891</v>
      </c>
      <c r="C24" s="118">
        <v>6.32504506E8</v>
      </c>
      <c r="D24" s="112" t="s">
        <v>889</v>
      </c>
      <c r="E24" s="115" t="s">
        <v>892</v>
      </c>
      <c r="G24" s="115" t="s">
        <v>18</v>
      </c>
      <c r="H24" s="115" t="s">
        <v>40</v>
      </c>
      <c r="I24" s="7" t="s">
        <v>126</v>
      </c>
      <c r="J24" s="115" t="s">
        <v>368</v>
      </c>
      <c r="L24" s="103">
        <v>46032.0</v>
      </c>
      <c r="M24" s="35">
        <f t="shared" si="2"/>
        <v>46043</v>
      </c>
      <c r="N24" s="31">
        <f t="shared" si="3"/>
        <v>46051</v>
      </c>
      <c r="O24" s="40">
        <v>46043.0</v>
      </c>
      <c r="P24" s="40">
        <v>46052.0</v>
      </c>
      <c r="S24" s="21" t="s">
        <v>23</v>
      </c>
    </row>
    <row r="25">
      <c r="A25" s="38">
        <f t="shared" si="1"/>
        <v>24</v>
      </c>
      <c r="B25" s="115" t="s">
        <v>893</v>
      </c>
      <c r="C25" s="118">
        <v>6.32504507E8</v>
      </c>
      <c r="D25" s="112" t="s">
        <v>889</v>
      </c>
      <c r="E25" s="115" t="s">
        <v>894</v>
      </c>
      <c r="G25" s="115" t="s">
        <v>18</v>
      </c>
      <c r="H25" s="115" t="s">
        <v>40</v>
      </c>
      <c r="I25" s="7" t="s">
        <v>126</v>
      </c>
      <c r="J25" s="115" t="s">
        <v>368</v>
      </c>
      <c r="L25" s="103">
        <v>46032.0</v>
      </c>
      <c r="M25" s="35">
        <f t="shared" si="2"/>
        <v>46043</v>
      </c>
      <c r="N25" s="31">
        <f t="shared" si="3"/>
        <v>46051</v>
      </c>
      <c r="O25" s="40">
        <v>46043.0</v>
      </c>
      <c r="P25" s="40">
        <v>46052.0</v>
      </c>
      <c r="S25" s="21" t="s">
        <v>23</v>
      </c>
    </row>
    <row r="26">
      <c r="A26" s="38">
        <f t="shared" si="1"/>
        <v>25</v>
      </c>
      <c r="B26" s="115" t="s">
        <v>895</v>
      </c>
      <c r="C26" s="118">
        <v>6.32504508E8</v>
      </c>
      <c r="D26" s="112" t="s">
        <v>889</v>
      </c>
      <c r="E26" s="115" t="s">
        <v>896</v>
      </c>
      <c r="G26" s="115" t="s">
        <v>18</v>
      </c>
      <c r="H26" s="115" t="s">
        <v>40</v>
      </c>
      <c r="I26" s="7" t="s">
        <v>126</v>
      </c>
      <c r="J26" s="115" t="s">
        <v>368</v>
      </c>
      <c r="L26" s="103">
        <v>46032.0</v>
      </c>
      <c r="M26" s="35">
        <f t="shared" si="2"/>
        <v>46043</v>
      </c>
      <c r="N26" s="31">
        <f t="shared" si="3"/>
        <v>46051</v>
      </c>
      <c r="O26" s="40">
        <v>46043.0</v>
      </c>
      <c r="P26" s="40">
        <v>46052.0</v>
      </c>
      <c r="S26" s="21" t="s">
        <v>23</v>
      </c>
    </row>
    <row r="27">
      <c r="A27" s="38">
        <f t="shared" si="1"/>
        <v>26</v>
      </c>
      <c r="B27" s="115" t="s">
        <v>897</v>
      </c>
      <c r="C27" s="118">
        <v>6.32504509E8</v>
      </c>
      <c r="D27" s="112" t="s">
        <v>889</v>
      </c>
      <c r="E27" s="115" t="s">
        <v>898</v>
      </c>
      <c r="G27" s="115" t="s">
        <v>18</v>
      </c>
      <c r="H27" s="115" t="s">
        <v>40</v>
      </c>
      <c r="I27" s="7" t="s">
        <v>126</v>
      </c>
      <c r="J27" s="115" t="s">
        <v>368</v>
      </c>
      <c r="L27" s="103">
        <v>46032.0</v>
      </c>
      <c r="M27" s="35">
        <f t="shared" si="2"/>
        <v>46043</v>
      </c>
      <c r="N27" s="31">
        <f t="shared" si="3"/>
        <v>46051</v>
      </c>
      <c r="O27" s="40">
        <v>46043.0</v>
      </c>
      <c r="P27" s="40">
        <v>46052.0</v>
      </c>
      <c r="S27" s="21" t="s">
        <v>23</v>
      </c>
    </row>
    <row r="28">
      <c r="A28" s="38">
        <f t="shared" si="1"/>
        <v>27</v>
      </c>
      <c r="B28" s="115" t="s">
        <v>899</v>
      </c>
      <c r="C28" s="118">
        <v>6.3250451E8</v>
      </c>
      <c r="D28" s="112" t="s">
        <v>889</v>
      </c>
      <c r="E28" s="115" t="s">
        <v>900</v>
      </c>
      <c r="G28" s="115" t="s">
        <v>18</v>
      </c>
      <c r="H28" s="115" t="s">
        <v>40</v>
      </c>
      <c r="I28" s="7" t="s">
        <v>126</v>
      </c>
      <c r="J28" s="115" t="s">
        <v>368</v>
      </c>
      <c r="L28" s="103">
        <v>46032.0</v>
      </c>
      <c r="M28" s="35">
        <f t="shared" si="2"/>
        <v>46043</v>
      </c>
      <c r="N28" s="31">
        <f t="shared" si="3"/>
        <v>46051</v>
      </c>
      <c r="O28" s="40">
        <v>46043.0</v>
      </c>
      <c r="P28" s="40">
        <v>46052.0</v>
      </c>
      <c r="S28" s="21" t="s">
        <v>23</v>
      </c>
    </row>
    <row r="29">
      <c r="A29" s="38">
        <f t="shared" si="1"/>
        <v>28</v>
      </c>
      <c r="B29" s="115" t="s">
        <v>901</v>
      </c>
      <c r="C29" s="118">
        <v>6.32504511E8</v>
      </c>
      <c r="D29" s="112" t="s">
        <v>889</v>
      </c>
      <c r="E29" s="115" t="s">
        <v>902</v>
      </c>
      <c r="G29" s="115" t="s">
        <v>18</v>
      </c>
      <c r="H29" s="115" t="s">
        <v>40</v>
      </c>
      <c r="I29" s="7" t="s">
        <v>126</v>
      </c>
      <c r="J29" s="115" t="s">
        <v>368</v>
      </c>
      <c r="L29" s="103">
        <v>46032.0</v>
      </c>
      <c r="M29" s="35">
        <f t="shared" si="2"/>
        <v>46043</v>
      </c>
      <c r="N29" s="31">
        <f t="shared" si="3"/>
        <v>46051</v>
      </c>
      <c r="O29" s="40">
        <v>46043.0</v>
      </c>
      <c r="P29" s="40">
        <v>46052.0</v>
      </c>
      <c r="S29" s="21" t="s">
        <v>23</v>
      </c>
    </row>
    <row r="30">
      <c r="A30" s="38">
        <f t="shared" si="1"/>
        <v>29</v>
      </c>
      <c r="B30" s="115" t="s">
        <v>903</v>
      </c>
      <c r="C30" s="118">
        <v>6.32504512E8</v>
      </c>
      <c r="D30" s="112" t="s">
        <v>889</v>
      </c>
      <c r="E30" s="115" t="s">
        <v>904</v>
      </c>
      <c r="G30" s="115" t="s">
        <v>18</v>
      </c>
      <c r="H30" s="115" t="s">
        <v>40</v>
      </c>
      <c r="I30" s="55" t="s">
        <v>367</v>
      </c>
      <c r="J30" s="115" t="s">
        <v>368</v>
      </c>
      <c r="L30" s="103">
        <v>46032.0</v>
      </c>
      <c r="M30" s="35">
        <f t="shared" si="2"/>
        <v>46043</v>
      </c>
      <c r="N30" s="31">
        <f t="shared" si="3"/>
        <v>46051</v>
      </c>
      <c r="O30" s="40">
        <v>46043.0</v>
      </c>
      <c r="P30" s="40">
        <v>46064.0</v>
      </c>
      <c r="S30" s="21" t="s">
        <v>23</v>
      </c>
    </row>
    <row r="31">
      <c r="A31" s="38">
        <f t="shared" si="1"/>
        <v>30</v>
      </c>
      <c r="B31" s="115" t="s">
        <v>905</v>
      </c>
      <c r="C31" s="118">
        <v>6.32504513E8</v>
      </c>
      <c r="D31" s="112" t="s">
        <v>889</v>
      </c>
      <c r="E31" s="115" t="s">
        <v>906</v>
      </c>
      <c r="G31" s="115" t="s">
        <v>18</v>
      </c>
      <c r="H31" s="115" t="s">
        <v>40</v>
      </c>
      <c r="I31" s="55" t="s">
        <v>367</v>
      </c>
      <c r="J31" s="115" t="s">
        <v>368</v>
      </c>
      <c r="L31" s="103">
        <v>46032.0</v>
      </c>
      <c r="M31" s="35">
        <f t="shared" si="2"/>
        <v>46043</v>
      </c>
      <c r="N31" s="31">
        <f t="shared" si="3"/>
        <v>46051</v>
      </c>
      <c r="O31" s="40">
        <v>46043.0</v>
      </c>
      <c r="P31" s="40">
        <v>46064.0</v>
      </c>
      <c r="S31" s="21" t="s">
        <v>23</v>
      </c>
    </row>
    <row r="32">
      <c r="A32" s="38">
        <f t="shared" si="1"/>
        <v>31</v>
      </c>
      <c r="B32" s="115" t="s">
        <v>907</v>
      </c>
      <c r="C32" s="118">
        <v>6.32504581E8</v>
      </c>
      <c r="D32" s="112" t="s">
        <v>908</v>
      </c>
      <c r="E32" s="115" t="s">
        <v>909</v>
      </c>
      <c r="G32" s="114" t="s">
        <v>18</v>
      </c>
      <c r="H32" s="114" t="s">
        <v>112</v>
      </c>
      <c r="I32" s="55" t="s">
        <v>454</v>
      </c>
      <c r="J32" s="115" t="s">
        <v>30</v>
      </c>
      <c r="L32" s="115" t="s">
        <v>910</v>
      </c>
      <c r="M32" s="35">
        <f t="shared" si="2"/>
        <v>46046</v>
      </c>
      <c r="N32" s="31">
        <f t="shared" si="3"/>
        <v>46054</v>
      </c>
      <c r="O32" s="40">
        <v>46050.0</v>
      </c>
      <c r="P32" s="40">
        <v>46056.0</v>
      </c>
      <c r="S32" s="21" t="s">
        <v>23</v>
      </c>
    </row>
    <row r="33">
      <c r="A33" s="38">
        <f t="shared" si="1"/>
        <v>32</v>
      </c>
      <c r="B33" s="115" t="s">
        <v>911</v>
      </c>
      <c r="C33" s="118">
        <v>6.32504572E8</v>
      </c>
      <c r="D33" s="112" t="s">
        <v>908</v>
      </c>
      <c r="E33" s="114" t="s">
        <v>912</v>
      </c>
      <c r="G33" s="114" t="s">
        <v>18</v>
      </c>
      <c r="H33" s="114" t="s">
        <v>112</v>
      </c>
      <c r="I33" s="55" t="s">
        <v>454</v>
      </c>
      <c r="J33" s="115" t="s">
        <v>30</v>
      </c>
      <c r="L33" s="115" t="s">
        <v>910</v>
      </c>
      <c r="M33" s="35">
        <f t="shared" si="2"/>
        <v>46046</v>
      </c>
      <c r="N33" s="31">
        <f t="shared" si="3"/>
        <v>46054</v>
      </c>
      <c r="O33" s="40">
        <v>46050.0</v>
      </c>
      <c r="P33" s="40">
        <v>46056.0</v>
      </c>
      <c r="S33" s="21" t="s">
        <v>23</v>
      </c>
    </row>
    <row r="34">
      <c r="A34" s="38">
        <f t="shared" si="1"/>
        <v>33</v>
      </c>
      <c r="B34" s="115" t="s">
        <v>913</v>
      </c>
      <c r="C34" s="118">
        <v>6.32504573E8</v>
      </c>
      <c r="D34" s="112" t="s">
        <v>908</v>
      </c>
      <c r="E34" s="116" t="s">
        <v>914</v>
      </c>
      <c r="G34" s="114" t="s">
        <v>18</v>
      </c>
      <c r="H34" s="114" t="s">
        <v>112</v>
      </c>
      <c r="I34" s="55" t="s">
        <v>454</v>
      </c>
      <c r="J34" s="115" t="s">
        <v>30</v>
      </c>
      <c r="L34" s="115" t="s">
        <v>910</v>
      </c>
      <c r="M34" s="35">
        <f t="shared" si="2"/>
        <v>46046</v>
      </c>
      <c r="N34" s="31">
        <f t="shared" si="3"/>
        <v>46054</v>
      </c>
      <c r="O34" s="40">
        <v>46050.0</v>
      </c>
      <c r="P34" s="40">
        <v>46056.0</v>
      </c>
      <c r="S34" s="21" t="s">
        <v>23</v>
      </c>
    </row>
    <row r="35">
      <c r="A35" s="38">
        <f t="shared" si="1"/>
        <v>34</v>
      </c>
      <c r="B35" s="115" t="s">
        <v>915</v>
      </c>
      <c r="C35" s="118">
        <v>6.32504574E8</v>
      </c>
      <c r="D35" s="112" t="s">
        <v>908</v>
      </c>
      <c r="E35" s="114" t="s">
        <v>916</v>
      </c>
      <c r="G35" s="114" t="s">
        <v>18</v>
      </c>
      <c r="H35" s="114" t="s">
        <v>112</v>
      </c>
      <c r="I35" s="55" t="s">
        <v>454</v>
      </c>
      <c r="J35" s="115" t="s">
        <v>30</v>
      </c>
      <c r="L35" s="115" t="s">
        <v>910</v>
      </c>
      <c r="M35" s="35">
        <f t="shared" si="2"/>
        <v>46046</v>
      </c>
      <c r="N35" s="31">
        <f t="shared" si="3"/>
        <v>46054</v>
      </c>
      <c r="O35" s="40">
        <v>46050.0</v>
      </c>
      <c r="P35" s="40">
        <v>46056.0</v>
      </c>
      <c r="S35" s="21" t="s">
        <v>23</v>
      </c>
    </row>
    <row r="36">
      <c r="A36" s="38">
        <f t="shared" si="1"/>
        <v>35</v>
      </c>
      <c r="B36" s="115" t="s">
        <v>917</v>
      </c>
      <c r="C36" s="118">
        <v>6.32504575E8</v>
      </c>
      <c r="D36" s="112" t="s">
        <v>908</v>
      </c>
      <c r="E36" s="114" t="s">
        <v>918</v>
      </c>
      <c r="G36" s="114" t="s">
        <v>18</v>
      </c>
      <c r="H36" s="114" t="s">
        <v>112</v>
      </c>
      <c r="I36" s="55" t="s">
        <v>454</v>
      </c>
      <c r="J36" s="115" t="s">
        <v>30</v>
      </c>
      <c r="L36" s="115" t="s">
        <v>910</v>
      </c>
      <c r="M36" s="35">
        <f t="shared" si="2"/>
        <v>46046</v>
      </c>
      <c r="N36" s="31">
        <f t="shared" si="3"/>
        <v>46054</v>
      </c>
      <c r="O36" s="40">
        <v>46050.0</v>
      </c>
      <c r="P36" s="40">
        <v>46056.0</v>
      </c>
      <c r="S36" s="21" t="s">
        <v>23</v>
      </c>
    </row>
    <row r="37">
      <c r="A37" s="38">
        <f t="shared" si="1"/>
        <v>36</v>
      </c>
      <c r="B37" s="115" t="s">
        <v>919</v>
      </c>
      <c r="C37" s="118">
        <v>6.32504576E8</v>
      </c>
      <c r="D37" s="112" t="s">
        <v>908</v>
      </c>
      <c r="E37" s="114" t="s">
        <v>920</v>
      </c>
      <c r="G37" s="114" t="s">
        <v>18</v>
      </c>
      <c r="H37" s="114" t="s">
        <v>112</v>
      </c>
      <c r="I37" s="55" t="s">
        <v>454</v>
      </c>
      <c r="J37" s="115" t="s">
        <v>30</v>
      </c>
      <c r="L37" s="115" t="s">
        <v>910</v>
      </c>
      <c r="M37" s="35">
        <f t="shared" si="2"/>
        <v>46046</v>
      </c>
      <c r="N37" s="31">
        <f t="shared" si="3"/>
        <v>46054</v>
      </c>
      <c r="O37" s="40">
        <v>46050.0</v>
      </c>
      <c r="P37" s="40">
        <v>46056.0</v>
      </c>
      <c r="S37" s="21" t="s">
        <v>23</v>
      </c>
    </row>
    <row r="38">
      <c r="A38" s="38">
        <f t="shared" si="1"/>
        <v>37</v>
      </c>
      <c r="B38" s="115" t="s">
        <v>921</v>
      </c>
      <c r="C38" s="118">
        <v>6.32504577E8</v>
      </c>
      <c r="D38" s="112" t="s">
        <v>908</v>
      </c>
      <c r="E38" s="114" t="s">
        <v>922</v>
      </c>
      <c r="G38" s="114" t="s">
        <v>18</v>
      </c>
      <c r="H38" s="114" t="s">
        <v>112</v>
      </c>
      <c r="I38" s="55" t="s">
        <v>454</v>
      </c>
      <c r="J38" s="115" t="s">
        <v>30</v>
      </c>
      <c r="L38" s="115" t="s">
        <v>910</v>
      </c>
      <c r="M38" s="35">
        <f t="shared" si="2"/>
        <v>46046</v>
      </c>
      <c r="N38" s="31">
        <f t="shared" si="3"/>
        <v>46054</v>
      </c>
      <c r="O38" s="40">
        <v>46050.0</v>
      </c>
      <c r="P38" s="40">
        <v>46056.0</v>
      </c>
      <c r="S38" s="21" t="s">
        <v>23</v>
      </c>
    </row>
    <row r="39">
      <c r="A39" s="38">
        <f t="shared" si="1"/>
        <v>38</v>
      </c>
      <c r="B39" s="115" t="s">
        <v>923</v>
      </c>
      <c r="C39" s="118">
        <v>6.32504578E8</v>
      </c>
      <c r="D39" s="112" t="s">
        <v>908</v>
      </c>
      <c r="E39" s="114" t="s">
        <v>924</v>
      </c>
      <c r="G39" s="114" t="s">
        <v>18</v>
      </c>
      <c r="H39" s="114" t="s">
        <v>112</v>
      </c>
      <c r="I39" s="55" t="s">
        <v>454</v>
      </c>
      <c r="J39" s="115" t="s">
        <v>30</v>
      </c>
      <c r="L39" s="115" t="s">
        <v>910</v>
      </c>
      <c r="M39" s="35">
        <f t="shared" si="2"/>
        <v>46046</v>
      </c>
      <c r="N39" s="31">
        <f t="shared" si="3"/>
        <v>46054</v>
      </c>
      <c r="O39" s="40">
        <v>46050.0</v>
      </c>
      <c r="P39" s="40">
        <v>46056.0</v>
      </c>
      <c r="S39" s="21" t="s">
        <v>23</v>
      </c>
    </row>
    <row r="40">
      <c r="A40" s="38">
        <f t="shared" si="1"/>
        <v>39</v>
      </c>
      <c r="B40" s="115" t="s">
        <v>925</v>
      </c>
      <c r="C40" s="118">
        <v>6.32504579E8</v>
      </c>
      <c r="D40" s="112" t="s">
        <v>908</v>
      </c>
      <c r="E40" s="114" t="s">
        <v>926</v>
      </c>
      <c r="G40" s="114" t="s">
        <v>18</v>
      </c>
      <c r="H40" s="114" t="s">
        <v>112</v>
      </c>
      <c r="I40" s="55" t="s">
        <v>454</v>
      </c>
      <c r="J40" s="115" t="s">
        <v>30</v>
      </c>
      <c r="L40" s="115" t="s">
        <v>910</v>
      </c>
      <c r="M40" s="35">
        <f t="shared" si="2"/>
        <v>46046</v>
      </c>
      <c r="N40" s="31">
        <f t="shared" si="3"/>
        <v>46054</v>
      </c>
      <c r="O40" s="40">
        <v>46050.0</v>
      </c>
      <c r="P40" s="40">
        <v>46056.0</v>
      </c>
      <c r="S40" s="21" t="s">
        <v>23</v>
      </c>
    </row>
    <row r="41">
      <c r="A41" s="38">
        <f t="shared" si="1"/>
        <v>40</v>
      </c>
      <c r="B41" s="115" t="s">
        <v>927</v>
      </c>
      <c r="C41" s="118">
        <v>6.3250458E8</v>
      </c>
      <c r="D41" s="112" t="s">
        <v>908</v>
      </c>
      <c r="E41" s="114" t="s">
        <v>928</v>
      </c>
      <c r="G41" s="114" t="s">
        <v>18</v>
      </c>
      <c r="H41" s="114" t="s">
        <v>112</v>
      </c>
      <c r="I41" s="55" t="s">
        <v>454</v>
      </c>
      <c r="J41" s="115" t="s">
        <v>30</v>
      </c>
      <c r="L41" s="115" t="s">
        <v>910</v>
      </c>
      <c r="M41" s="35">
        <f t="shared" si="2"/>
        <v>46046</v>
      </c>
      <c r="N41" s="31">
        <f t="shared" si="3"/>
        <v>46054</v>
      </c>
      <c r="O41" s="40">
        <v>46050.0</v>
      </c>
      <c r="P41" s="40">
        <v>46056.0</v>
      </c>
      <c r="S41" s="21" t="s">
        <v>23</v>
      </c>
    </row>
    <row r="42">
      <c r="A42" s="38">
        <f t="shared" si="1"/>
        <v>41</v>
      </c>
      <c r="B42" s="115" t="s">
        <v>929</v>
      </c>
      <c r="C42" s="118">
        <v>6.32504564E8</v>
      </c>
      <c r="D42" s="112" t="s">
        <v>930</v>
      </c>
      <c r="E42" s="115" t="s">
        <v>931</v>
      </c>
      <c r="G42" s="115" t="s">
        <v>18</v>
      </c>
      <c r="H42" s="115" t="s">
        <v>40</v>
      </c>
      <c r="I42" s="7" t="s">
        <v>126</v>
      </c>
      <c r="J42" s="115" t="s">
        <v>368</v>
      </c>
      <c r="L42" s="115" t="s">
        <v>932</v>
      </c>
      <c r="M42" s="35">
        <f t="shared" si="2"/>
        <v>46047</v>
      </c>
      <c r="N42" s="31">
        <f t="shared" si="3"/>
        <v>46055</v>
      </c>
      <c r="O42" s="40">
        <v>46049.0</v>
      </c>
      <c r="P42" s="40">
        <v>46058.0</v>
      </c>
      <c r="S42" s="21" t="s">
        <v>23</v>
      </c>
    </row>
    <row r="43">
      <c r="A43" s="38">
        <f t="shared" si="1"/>
        <v>42</v>
      </c>
      <c r="B43" s="115" t="s">
        <v>933</v>
      </c>
      <c r="C43" s="118">
        <v>6.32504565E8</v>
      </c>
      <c r="D43" s="112" t="s">
        <v>930</v>
      </c>
      <c r="E43" s="115" t="s">
        <v>934</v>
      </c>
      <c r="G43" s="115" t="s">
        <v>18</v>
      </c>
      <c r="H43" s="115" t="s">
        <v>40</v>
      </c>
      <c r="I43" s="7" t="s">
        <v>126</v>
      </c>
      <c r="J43" s="115" t="s">
        <v>368</v>
      </c>
      <c r="L43" s="115" t="s">
        <v>932</v>
      </c>
      <c r="M43" s="35">
        <f t="shared" si="2"/>
        <v>46047</v>
      </c>
      <c r="N43" s="31">
        <f t="shared" si="3"/>
        <v>46055</v>
      </c>
      <c r="O43" s="40">
        <v>46049.0</v>
      </c>
      <c r="P43" s="40">
        <v>46058.0</v>
      </c>
      <c r="S43" s="21" t="s">
        <v>23</v>
      </c>
    </row>
    <row r="44">
      <c r="A44" s="38">
        <f t="shared" si="1"/>
        <v>43</v>
      </c>
      <c r="B44" s="115" t="s">
        <v>935</v>
      </c>
      <c r="C44" s="118">
        <v>6.32504566E8</v>
      </c>
      <c r="D44" s="112" t="s">
        <v>930</v>
      </c>
      <c r="E44" s="115" t="s">
        <v>936</v>
      </c>
      <c r="G44" s="115" t="s">
        <v>18</v>
      </c>
      <c r="H44" s="115" t="s">
        <v>40</v>
      </c>
      <c r="I44" s="7" t="s">
        <v>126</v>
      </c>
      <c r="J44" s="115" t="s">
        <v>368</v>
      </c>
      <c r="L44" s="115" t="s">
        <v>932</v>
      </c>
      <c r="M44" s="35">
        <f t="shared" si="2"/>
        <v>46047</v>
      </c>
      <c r="N44" s="31">
        <f t="shared" si="3"/>
        <v>46055</v>
      </c>
      <c r="O44" s="40">
        <v>46049.0</v>
      </c>
      <c r="P44" s="40">
        <v>46058.0</v>
      </c>
      <c r="S44" s="21" t="s">
        <v>23</v>
      </c>
    </row>
    <row r="45">
      <c r="A45" s="38">
        <f t="shared" si="1"/>
        <v>44</v>
      </c>
      <c r="B45" s="115" t="s">
        <v>937</v>
      </c>
      <c r="C45" s="118">
        <v>6.32504567E8</v>
      </c>
      <c r="D45" s="112" t="s">
        <v>930</v>
      </c>
      <c r="E45" s="115" t="s">
        <v>938</v>
      </c>
      <c r="G45" s="115" t="s">
        <v>18</v>
      </c>
      <c r="H45" s="115" t="s">
        <v>40</v>
      </c>
      <c r="I45" s="7" t="s">
        <v>126</v>
      </c>
      <c r="J45" s="115" t="s">
        <v>368</v>
      </c>
      <c r="L45" s="115" t="s">
        <v>932</v>
      </c>
      <c r="M45" s="35">
        <f t="shared" si="2"/>
        <v>46047</v>
      </c>
      <c r="N45" s="31">
        <f t="shared" si="3"/>
        <v>46055</v>
      </c>
      <c r="O45" s="40">
        <v>46049.0</v>
      </c>
      <c r="P45" s="40">
        <v>46058.0</v>
      </c>
      <c r="S45" s="21" t="s">
        <v>23</v>
      </c>
    </row>
    <row r="46">
      <c r="A46" s="38">
        <f t="shared" si="1"/>
        <v>45</v>
      </c>
      <c r="B46" s="115" t="s">
        <v>939</v>
      </c>
      <c r="C46" s="118">
        <v>6.32504568E8</v>
      </c>
      <c r="D46" s="112" t="s">
        <v>930</v>
      </c>
      <c r="E46" s="115" t="s">
        <v>940</v>
      </c>
      <c r="G46" s="115" t="s">
        <v>18</v>
      </c>
      <c r="H46" s="115" t="s">
        <v>40</v>
      </c>
      <c r="I46" s="7" t="s">
        <v>126</v>
      </c>
      <c r="J46" s="115" t="s">
        <v>368</v>
      </c>
      <c r="L46" s="115" t="s">
        <v>932</v>
      </c>
      <c r="M46" s="35">
        <f t="shared" si="2"/>
        <v>46047</v>
      </c>
      <c r="N46" s="31">
        <f t="shared" si="3"/>
        <v>46055</v>
      </c>
      <c r="O46" s="40">
        <v>46049.0</v>
      </c>
      <c r="P46" s="40">
        <v>46058.0</v>
      </c>
      <c r="S46" s="21" t="s">
        <v>23</v>
      </c>
    </row>
    <row r="47">
      <c r="A47" s="38">
        <f t="shared" si="1"/>
        <v>46</v>
      </c>
      <c r="B47" s="115" t="s">
        <v>941</v>
      </c>
      <c r="C47" s="118">
        <v>6.32504569E8</v>
      </c>
      <c r="D47" s="112" t="s">
        <v>930</v>
      </c>
      <c r="E47" s="127" t="s">
        <v>942</v>
      </c>
      <c r="G47" s="127" t="s">
        <v>18</v>
      </c>
      <c r="H47" s="127" t="s">
        <v>40</v>
      </c>
      <c r="I47" s="7" t="s">
        <v>126</v>
      </c>
      <c r="J47" s="115" t="s">
        <v>368</v>
      </c>
      <c r="L47" s="115" t="s">
        <v>932</v>
      </c>
      <c r="M47" s="35">
        <f t="shared" si="2"/>
        <v>46047</v>
      </c>
      <c r="N47" s="31">
        <f t="shared" si="3"/>
        <v>46055</v>
      </c>
      <c r="O47" s="40">
        <v>46049.0</v>
      </c>
      <c r="P47" s="40">
        <v>46058.0</v>
      </c>
      <c r="S47" s="21" t="s">
        <v>23</v>
      </c>
    </row>
    <row r="48">
      <c r="A48" s="38">
        <f t="shared" si="1"/>
        <v>47</v>
      </c>
      <c r="B48" s="115" t="s">
        <v>943</v>
      </c>
      <c r="C48" s="118">
        <v>6.32504583E8</v>
      </c>
      <c r="D48" s="112" t="s">
        <v>944</v>
      </c>
      <c r="E48" s="129" t="s">
        <v>945</v>
      </c>
      <c r="G48" s="129" t="s">
        <v>624</v>
      </c>
      <c r="H48" s="129" t="s">
        <v>264</v>
      </c>
      <c r="J48" s="115" t="s">
        <v>359</v>
      </c>
      <c r="L48" s="115" t="s">
        <v>946</v>
      </c>
      <c r="M48" s="35">
        <f t="shared" si="2"/>
        <v>46048</v>
      </c>
      <c r="N48" s="31">
        <f t="shared" si="3"/>
        <v>46056</v>
      </c>
      <c r="O48" s="40">
        <v>46052.0</v>
      </c>
      <c r="P48" s="40">
        <v>46065.0</v>
      </c>
      <c r="S48" s="21" t="s">
        <v>23</v>
      </c>
    </row>
    <row r="49">
      <c r="A49" s="38">
        <f t="shared" si="1"/>
        <v>48</v>
      </c>
      <c r="B49" s="115" t="s">
        <v>947</v>
      </c>
      <c r="C49" s="118">
        <v>6.32504584E8</v>
      </c>
      <c r="D49" s="112" t="s">
        <v>879</v>
      </c>
      <c r="E49" s="129" t="s">
        <v>948</v>
      </c>
      <c r="G49" s="129" t="s">
        <v>18</v>
      </c>
      <c r="H49" s="129" t="s">
        <v>264</v>
      </c>
      <c r="J49" s="115" t="s">
        <v>359</v>
      </c>
      <c r="L49" s="115" t="s">
        <v>946</v>
      </c>
      <c r="M49" s="35">
        <f t="shared" si="2"/>
        <v>46048</v>
      </c>
      <c r="N49" s="31">
        <f t="shared" si="3"/>
        <v>46056</v>
      </c>
      <c r="O49" s="40">
        <v>46052.0</v>
      </c>
      <c r="P49" s="40">
        <v>46065.0</v>
      </c>
      <c r="S49" s="21" t="s">
        <v>23</v>
      </c>
    </row>
    <row r="50">
      <c r="A50" s="38">
        <f t="shared" si="1"/>
        <v>49</v>
      </c>
      <c r="B50" s="115" t="s">
        <v>949</v>
      </c>
      <c r="C50" s="118">
        <v>6.32504585E8</v>
      </c>
      <c r="D50" s="112" t="s">
        <v>879</v>
      </c>
      <c r="E50" s="129" t="s">
        <v>950</v>
      </c>
      <c r="G50" s="129" t="s">
        <v>18</v>
      </c>
      <c r="H50" s="129" t="s">
        <v>264</v>
      </c>
      <c r="J50" s="115" t="s">
        <v>359</v>
      </c>
      <c r="L50" s="115" t="s">
        <v>946</v>
      </c>
      <c r="M50" s="35">
        <f t="shared" si="2"/>
        <v>46048</v>
      </c>
      <c r="N50" s="31">
        <f t="shared" si="3"/>
        <v>46056</v>
      </c>
      <c r="O50" s="40">
        <v>46052.0</v>
      </c>
      <c r="P50" s="40">
        <v>46065.0</v>
      </c>
      <c r="S50" s="21" t="s">
        <v>23</v>
      </c>
    </row>
    <row r="51">
      <c r="A51" s="38">
        <f t="shared" si="1"/>
        <v>50</v>
      </c>
      <c r="B51" s="115" t="s">
        <v>951</v>
      </c>
      <c r="C51" s="115">
        <v>6.32504664E8</v>
      </c>
      <c r="D51" s="112" t="s">
        <v>952</v>
      </c>
      <c r="E51" s="130" t="s">
        <v>953</v>
      </c>
      <c r="G51" s="130" t="s">
        <v>624</v>
      </c>
      <c r="H51" s="130" t="s">
        <v>264</v>
      </c>
      <c r="J51" s="115" t="s">
        <v>359</v>
      </c>
      <c r="L51" s="115" t="s">
        <v>954</v>
      </c>
      <c r="M51" s="35">
        <f t="shared" si="2"/>
        <v>46051</v>
      </c>
      <c r="N51" s="31">
        <f t="shared" si="3"/>
        <v>46059</v>
      </c>
      <c r="O51" s="40">
        <v>46052.0</v>
      </c>
      <c r="P51" s="40">
        <v>46070.0</v>
      </c>
      <c r="S51" s="21" t="s">
        <v>23</v>
      </c>
    </row>
    <row r="52">
      <c r="A52" s="38">
        <f t="shared" si="1"/>
        <v>51</v>
      </c>
      <c r="B52" s="115" t="s">
        <v>955</v>
      </c>
      <c r="C52" s="118">
        <v>6.32504634E8</v>
      </c>
      <c r="D52" s="112" t="s">
        <v>956</v>
      </c>
      <c r="E52" s="114" t="s">
        <v>957</v>
      </c>
      <c r="G52" s="114" t="s">
        <v>18</v>
      </c>
      <c r="H52" s="114" t="s">
        <v>264</v>
      </c>
      <c r="J52" s="115" t="s">
        <v>359</v>
      </c>
      <c r="L52" s="115" t="s">
        <v>954</v>
      </c>
      <c r="M52" s="35">
        <f t="shared" si="2"/>
        <v>46051</v>
      </c>
      <c r="N52" s="31">
        <f t="shared" si="3"/>
        <v>46059</v>
      </c>
      <c r="O52" s="40">
        <v>46052.0</v>
      </c>
      <c r="P52" s="40">
        <v>46065.0</v>
      </c>
      <c r="S52" s="21" t="s">
        <v>23</v>
      </c>
    </row>
    <row r="53">
      <c r="A53" s="38">
        <f t="shared" si="1"/>
        <v>52</v>
      </c>
      <c r="B53" s="115" t="s">
        <v>958</v>
      </c>
      <c r="C53" s="118">
        <v>6.32504683E8</v>
      </c>
      <c r="D53" s="112" t="s">
        <v>959</v>
      </c>
      <c r="E53" s="62" t="s">
        <v>960</v>
      </c>
      <c r="G53" s="62" t="s">
        <v>18</v>
      </c>
      <c r="H53" s="62" t="s">
        <v>40</v>
      </c>
      <c r="I53" s="7" t="s">
        <v>126</v>
      </c>
      <c r="J53" s="115" t="s">
        <v>344</v>
      </c>
      <c r="L53" s="115" t="s">
        <v>961</v>
      </c>
      <c r="M53" s="35">
        <f t="shared" si="2"/>
        <v>46054</v>
      </c>
      <c r="N53" s="31">
        <f t="shared" si="3"/>
        <v>46062</v>
      </c>
      <c r="O53" s="40">
        <v>46056.0</v>
      </c>
      <c r="P53" s="40">
        <v>46064.0</v>
      </c>
      <c r="S53" s="21" t="s">
        <v>23</v>
      </c>
    </row>
    <row r="54">
      <c r="A54" s="38">
        <f t="shared" si="1"/>
        <v>53</v>
      </c>
      <c r="B54" s="115" t="s">
        <v>962</v>
      </c>
      <c r="C54" s="118">
        <v>6.32504676E8</v>
      </c>
      <c r="D54" s="112" t="s">
        <v>963</v>
      </c>
      <c r="E54" s="115" t="s">
        <v>964</v>
      </c>
      <c r="G54" s="115" t="s">
        <v>18</v>
      </c>
      <c r="H54" s="115" t="s">
        <v>40</v>
      </c>
      <c r="I54" s="7" t="s">
        <v>126</v>
      </c>
      <c r="J54" s="115" t="s">
        <v>344</v>
      </c>
      <c r="L54" s="115" t="s">
        <v>961</v>
      </c>
      <c r="M54" s="35">
        <f t="shared" si="2"/>
        <v>46054</v>
      </c>
      <c r="N54" s="31">
        <f t="shared" si="3"/>
        <v>46062</v>
      </c>
      <c r="O54" s="40">
        <v>46056.0</v>
      </c>
      <c r="P54" s="40">
        <v>46064.0</v>
      </c>
      <c r="S54" s="21" t="s">
        <v>23</v>
      </c>
    </row>
    <row r="55">
      <c r="A55" s="38">
        <f t="shared" si="1"/>
        <v>54</v>
      </c>
      <c r="B55" s="115" t="s">
        <v>965</v>
      </c>
      <c r="C55" s="118">
        <v>6.32504678E8</v>
      </c>
      <c r="D55" s="112" t="s">
        <v>963</v>
      </c>
      <c r="E55" s="115" t="s">
        <v>966</v>
      </c>
      <c r="G55" s="115" t="s">
        <v>18</v>
      </c>
      <c r="H55" s="115" t="s">
        <v>40</v>
      </c>
      <c r="I55" s="7" t="s">
        <v>126</v>
      </c>
      <c r="J55" s="115" t="s">
        <v>344</v>
      </c>
      <c r="L55" s="115" t="s">
        <v>961</v>
      </c>
      <c r="M55" s="35">
        <f t="shared" si="2"/>
        <v>46054</v>
      </c>
      <c r="N55" s="31">
        <f t="shared" si="3"/>
        <v>46062</v>
      </c>
      <c r="O55" s="40">
        <v>46056.0</v>
      </c>
      <c r="P55" s="40">
        <v>46064.0</v>
      </c>
      <c r="S55" s="21" t="s">
        <v>23</v>
      </c>
    </row>
    <row r="56">
      <c r="A56" s="38">
        <f t="shared" si="1"/>
        <v>55</v>
      </c>
      <c r="B56" s="115" t="s">
        <v>967</v>
      </c>
      <c r="C56" s="118">
        <v>6.32504679E8</v>
      </c>
      <c r="D56" s="112" t="s">
        <v>963</v>
      </c>
      <c r="E56" s="115" t="s">
        <v>968</v>
      </c>
      <c r="G56" s="115" t="s">
        <v>18</v>
      </c>
      <c r="H56" s="115" t="s">
        <v>40</v>
      </c>
      <c r="I56" s="7" t="s">
        <v>126</v>
      </c>
      <c r="J56" s="115" t="s">
        <v>344</v>
      </c>
      <c r="L56" s="115" t="s">
        <v>961</v>
      </c>
      <c r="M56" s="35">
        <f t="shared" si="2"/>
        <v>46054</v>
      </c>
      <c r="N56" s="31">
        <f t="shared" si="3"/>
        <v>46062</v>
      </c>
      <c r="O56" s="40">
        <v>46056.0</v>
      </c>
      <c r="P56" s="40">
        <v>46064.0</v>
      </c>
      <c r="S56" s="21" t="s">
        <v>23</v>
      </c>
    </row>
    <row r="57">
      <c r="A57" s="38">
        <f t="shared" si="1"/>
        <v>56</v>
      </c>
      <c r="B57" s="115" t="s">
        <v>969</v>
      </c>
      <c r="C57" s="118">
        <v>6.32504677E8</v>
      </c>
      <c r="D57" s="112" t="s">
        <v>959</v>
      </c>
      <c r="E57" s="115" t="s">
        <v>970</v>
      </c>
      <c r="G57" s="115" t="s">
        <v>18</v>
      </c>
      <c r="H57" s="115" t="s">
        <v>40</v>
      </c>
      <c r="I57" s="7" t="s">
        <v>126</v>
      </c>
      <c r="J57" s="115" t="s">
        <v>344</v>
      </c>
      <c r="L57" s="115" t="s">
        <v>971</v>
      </c>
      <c r="M57" s="35">
        <f t="shared" si="2"/>
        <v>46053</v>
      </c>
      <c r="N57" s="31">
        <f t="shared" si="3"/>
        <v>46061</v>
      </c>
      <c r="O57" s="40">
        <v>46056.0</v>
      </c>
      <c r="P57" s="40">
        <v>46055.0</v>
      </c>
      <c r="S57" s="21" t="s">
        <v>23</v>
      </c>
    </row>
    <row r="58">
      <c r="A58" s="38">
        <f t="shared" si="1"/>
        <v>57</v>
      </c>
      <c r="B58" s="115" t="s">
        <v>972</v>
      </c>
      <c r="C58" s="118">
        <v>6.3250468E8</v>
      </c>
      <c r="D58" s="112" t="s">
        <v>959</v>
      </c>
      <c r="E58" s="62" t="s">
        <v>973</v>
      </c>
      <c r="G58" s="62" t="s">
        <v>18</v>
      </c>
      <c r="H58" s="62" t="s">
        <v>40</v>
      </c>
      <c r="I58" s="7" t="s">
        <v>126</v>
      </c>
      <c r="J58" s="115" t="s">
        <v>344</v>
      </c>
      <c r="L58" s="115" t="s">
        <v>961</v>
      </c>
      <c r="M58" s="35">
        <f t="shared" si="2"/>
        <v>46054</v>
      </c>
      <c r="N58" s="31">
        <f t="shared" si="3"/>
        <v>46062</v>
      </c>
      <c r="O58" s="40">
        <v>46056.0</v>
      </c>
      <c r="P58" s="40">
        <v>46064.0</v>
      </c>
      <c r="S58" s="21" t="s">
        <v>23</v>
      </c>
    </row>
    <row r="59">
      <c r="A59" s="38">
        <f t="shared" si="1"/>
        <v>58</v>
      </c>
      <c r="B59" s="115" t="s">
        <v>974</v>
      </c>
      <c r="C59" s="118">
        <v>6.32504681E8</v>
      </c>
      <c r="D59" s="112" t="s">
        <v>959</v>
      </c>
      <c r="E59" s="62" t="s">
        <v>975</v>
      </c>
      <c r="G59" s="62" t="s">
        <v>18</v>
      </c>
      <c r="H59" s="62" t="s">
        <v>40</v>
      </c>
      <c r="I59" s="7" t="s">
        <v>126</v>
      </c>
      <c r="J59" s="115" t="s">
        <v>344</v>
      </c>
      <c r="L59" s="115" t="s">
        <v>961</v>
      </c>
      <c r="M59" s="35">
        <f t="shared" si="2"/>
        <v>46054</v>
      </c>
      <c r="N59" s="31">
        <f t="shared" si="3"/>
        <v>46062</v>
      </c>
      <c r="O59" s="40">
        <v>46056.0</v>
      </c>
      <c r="P59" s="40">
        <v>46064.0</v>
      </c>
      <c r="S59" s="21" t="s">
        <v>23</v>
      </c>
    </row>
    <row r="60">
      <c r="A60" s="38">
        <f t="shared" si="1"/>
        <v>59</v>
      </c>
      <c r="B60" s="115" t="s">
        <v>976</v>
      </c>
      <c r="C60" s="118">
        <v>6.32504682E8</v>
      </c>
      <c r="D60" s="112" t="s">
        <v>959</v>
      </c>
      <c r="E60" s="62" t="s">
        <v>977</v>
      </c>
      <c r="G60" s="62" t="s">
        <v>18</v>
      </c>
      <c r="H60" s="62" t="s">
        <v>40</v>
      </c>
      <c r="I60" s="7" t="s">
        <v>126</v>
      </c>
      <c r="J60" s="115" t="s">
        <v>344</v>
      </c>
      <c r="L60" s="115" t="s">
        <v>961</v>
      </c>
      <c r="M60" s="35">
        <f t="shared" si="2"/>
        <v>46054</v>
      </c>
      <c r="N60" s="31">
        <f t="shared" si="3"/>
        <v>46062</v>
      </c>
      <c r="O60" s="40">
        <v>46056.0</v>
      </c>
      <c r="P60" s="40">
        <v>46064.0</v>
      </c>
      <c r="S60" s="21" t="s">
        <v>23</v>
      </c>
    </row>
    <row r="61">
      <c r="A61" s="38">
        <f t="shared" si="1"/>
        <v>60</v>
      </c>
      <c r="B61" s="115" t="s">
        <v>978</v>
      </c>
      <c r="C61" s="118">
        <v>6.3250467E8</v>
      </c>
      <c r="D61" s="112" t="s">
        <v>781</v>
      </c>
      <c r="E61" s="131" t="s">
        <v>979</v>
      </c>
      <c r="G61" s="129" t="s">
        <v>18</v>
      </c>
      <c r="H61" s="129" t="s">
        <v>264</v>
      </c>
      <c r="J61" s="115" t="s">
        <v>359</v>
      </c>
      <c r="L61" s="115" t="s">
        <v>961</v>
      </c>
      <c r="M61" s="35">
        <f t="shared" si="2"/>
        <v>46054</v>
      </c>
      <c r="N61" s="31">
        <f t="shared" si="3"/>
        <v>46062</v>
      </c>
      <c r="O61" s="40">
        <v>46057.0</v>
      </c>
      <c r="P61" s="40">
        <v>46065.0</v>
      </c>
      <c r="S61" s="21" t="s">
        <v>23</v>
      </c>
    </row>
    <row r="62">
      <c r="A62" s="38">
        <f t="shared" si="1"/>
        <v>61</v>
      </c>
      <c r="B62" s="115" t="s">
        <v>980</v>
      </c>
      <c r="C62" s="118">
        <v>6.32504669E8</v>
      </c>
      <c r="D62" s="112" t="s">
        <v>781</v>
      </c>
      <c r="E62" s="129" t="s">
        <v>981</v>
      </c>
      <c r="G62" s="129" t="s">
        <v>18</v>
      </c>
      <c r="H62" s="129" t="s">
        <v>264</v>
      </c>
      <c r="J62" s="115" t="s">
        <v>359</v>
      </c>
      <c r="L62" s="115" t="s">
        <v>961</v>
      </c>
      <c r="M62" s="35">
        <f t="shared" si="2"/>
        <v>46054</v>
      </c>
      <c r="N62" s="31">
        <f t="shared" si="3"/>
        <v>46062</v>
      </c>
      <c r="O62" s="40">
        <v>46057.0</v>
      </c>
      <c r="P62" s="40">
        <v>46065.0</v>
      </c>
      <c r="S62" s="21" t="s">
        <v>23</v>
      </c>
    </row>
    <row r="63">
      <c r="A63" s="38">
        <f t="shared" si="1"/>
        <v>62</v>
      </c>
      <c r="B63" s="132" t="s">
        <v>982</v>
      </c>
      <c r="C63" s="133">
        <v>6.32504671E8</v>
      </c>
      <c r="D63" s="134" t="s">
        <v>879</v>
      </c>
      <c r="E63" s="132" t="s">
        <v>983</v>
      </c>
      <c r="G63" s="135" t="s">
        <v>18</v>
      </c>
      <c r="H63" s="132" t="s">
        <v>264</v>
      </c>
      <c r="J63" s="132" t="s">
        <v>984</v>
      </c>
      <c r="L63" s="132" t="s">
        <v>961</v>
      </c>
      <c r="M63" s="35">
        <f t="shared" si="2"/>
        <v>46054</v>
      </c>
      <c r="N63" s="31">
        <f t="shared" si="3"/>
        <v>46062</v>
      </c>
      <c r="O63" s="21" t="s">
        <v>985</v>
      </c>
      <c r="P63" s="21" t="s">
        <v>985</v>
      </c>
      <c r="S63" s="21" t="s">
        <v>23</v>
      </c>
    </row>
    <row r="64">
      <c r="A64" s="38">
        <f t="shared" si="1"/>
        <v>63</v>
      </c>
      <c r="B64" s="112" t="s">
        <v>986</v>
      </c>
      <c r="C64" s="113">
        <v>6.32504718E8</v>
      </c>
      <c r="D64" s="136" t="s">
        <v>987</v>
      </c>
      <c r="E64" s="62" t="s">
        <v>988</v>
      </c>
      <c r="G64" s="62" t="s">
        <v>18</v>
      </c>
      <c r="H64" s="62" t="s">
        <v>40</v>
      </c>
      <c r="I64" s="7" t="s">
        <v>126</v>
      </c>
      <c r="J64" s="115" t="s">
        <v>344</v>
      </c>
      <c r="L64" s="115" t="s">
        <v>989</v>
      </c>
      <c r="M64" s="35">
        <f t="shared" si="2"/>
        <v>46056</v>
      </c>
      <c r="N64" s="31">
        <f t="shared" si="3"/>
        <v>46064</v>
      </c>
      <c r="O64" s="40">
        <v>46056.0</v>
      </c>
      <c r="P64" s="40">
        <v>46069.0</v>
      </c>
      <c r="S64" s="21" t="s">
        <v>23</v>
      </c>
    </row>
    <row r="65">
      <c r="A65" s="38">
        <f t="shared" si="1"/>
        <v>64</v>
      </c>
      <c r="B65" s="112" t="s">
        <v>990</v>
      </c>
      <c r="C65" s="113">
        <v>6.32504719E8</v>
      </c>
      <c r="D65" s="95"/>
      <c r="E65" s="62" t="s">
        <v>991</v>
      </c>
      <c r="G65" s="62" t="s">
        <v>18</v>
      </c>
      <c r="H65" s="62" t="s">
        <v>40</v>
      </c>
      <c r="I65" s="7" t="s">
        <v>126</v>
      </c>
      <c r="J65" s="115" t="s">
        <v>344</v>
      </c>
      <c r="L65" s="115" t="s">
        <v>989</v>
      </c>
      <c r="M65" s="35">
        <f t="shared" si="2"/>
        <v>46056</v>
      </c>
      <c r="N65" s="31">
        <f t="shared" si="3"/>
        <v>46064</v>
      </c>
      <c r="O65" s="40">
        <v>46056.0</v>
      </c>
      <c r="P65" s="40">
        <v>46069.0</v>
      </c>
      <c r="S65" s="21" t="s">
        <v>23</v>
      </c>
    </row>
    <row r="66">
      <c r="A66" s="38">
        <f t="shared" si="1"/>
        <v>65</v>
      </c>
      <c r="B66" s="112" t="s">
        <v>992</v>
      </c>
      <c r="C66" s="113">
        <v>6.3250472E8</v>
      </c>
      <c r="D66" s="95"/>
      <c r="E66" s="62" t="s">
        <v>993</v>
      </c>
      <c r="G66" s="62" t="s">
        <v>18</v>
      </c>
      <c r="H66" s="62" t="s">
        <v>40</v>
      </c>
      <c r="I66" s="7" t="s">
        <v>126</v>
      </c>
      <c r="J66" s="115" t="s">
        <v>344</v>
      </c>
      <c r="L66" s="115" t="s">
        <v>989</v>
      </c>
      <c r="M66" s="35">
        <f t="shared" si="2"/>
        <v>46056</v>
      </c>
      <c r="N66" s="31">
        <f t="shared" si="3"/>
        <v>46064</v>
      </c>
      <c r="O66" s="40">
        <v>46056.0</v>
      </c>
      <c r="P66" s="40">
        <v>46069.0</v>
      </c>
      <c r="S66" s="21" t="s">
        <v>23</v>
      </c>
    </row>
    <row r="67">
      <c r="A67" s="38">
        <f t="shared" si="1"/>
        <v>66</v>
      </c>
      <c r="B67" s="112" t="s">
        <v>994</v>
      </c>
      <c r="C67" s="113">
        <v>6.32504721E8</v>
      </c>
      <c r="D67" s="95"/>
      <c r="E67" s="62" t="s">
        <v>995</v>
      </c>
      <c r="G67" s="62" t="s">
        <v>18</v>
      </c>
      <c r="H67" s="62" t="s">
        <v>40</v>
      </c>
      <c r="I67" s="7" t="s">
        <v>126</v>
      </c>
      <c r="J67" s="115" t="s">
        <v>344</v>
      </c>
      <c r="L67" s="115" t="s">
        <v>989</v>
      </c>
      <c r="M67" s="35">
        <f t="shared" si="2"/>
        <v>46056</v>
      </c>
      <c r="N67" s="31">
        <f t="shared" si="3"/>
        <v>46064</v>
      </c>
      <c r="O67" s="40">
        <v>46056.0</v>
      </c>
      <c r="P67" s="40">
        <v>46069.0</v>
      </c>
      <c r="S67" s="21" t="s">
        <v>23</v>
      </c>
    </row>
    <row r="68">
      <c r="A68" s="38">
        <f t="shared" si="1"/>
        <v>67</v>
      </c>
      <c r="B68" s="112" t="s">
        <v>996</v>
      </c>
      <c r="C68" s="113">
        <v>6.32504722E8</v>
      </c>
      <c r="D68" s="96"/>
      <c r="E68" s="62" t="s">
        <v>997</v>
      </c>
      <c r="G68" s="62" t="s">
        <v>18</v>
      </c>
      <c r="H68" s="62" t="s">
        <v>40</v>
      </c>
      <c r="I68" s="7" t="s">
        <v>126</v>
      </c>
      <c r="J68" s="115" t="s">
        <v>344</v>
      </c>
      <c r="L68" s="115" t="s">
        <v>989</v>
      </c>
      <c r="M68" s="35">
        <f t="shared" si="2"/>
        <v>46056</v>
      </c>
      <c r="N68" s="31">
        <f t="shared" si="3"/>
        <v>46064</v>
      </c>
      <c r="O68" s="40">
        <v>46056.0</v>
      </c>
      <c r="P68" s="40">
        <v>46069.0</v>
      </c>
      <c r="S68" s="21" t="s">
        <v>23</v>
      </c>
    </row>
    <row r="69">
      <c r="A69" s="38">
        <f t="shared" si="1"/>
        <v>68</v>
      </c>
      <c r="B69" s="112" t="s">
        <v>998</v>
      </c>
      <c r="C69" s="113">
        <v>6.32504716E8</v>
      </c>
      <c r="D69" s="112" t="s">
        <v>987</v>
      </c>
      <c r="E69" s="115" t="s">
        <v>999</v>
      </c>
      <c r="G69" s="115" t="s">
        <v>624</v>
      </c>
      <c r="H69" s="115" t="s">
        <v>264</v>
      </c>
      <c r="J69" s="115" t="s">
        <v>359</v>
      </c>
      <c r="L69" s="115" t="s">
        <v>1000</v>
      </c>
      <c r="M69" s="35">
        <f t="shared" si="2"/>
        <v>46057</v>
      </c>
      <c r="N69" s="31">
        <f t="shared" si="3"/>
        <v>46065</v>
      </c>
      <c r="O69" s="40">
        <v>46057.0</v>
      </c>
      <c r="P69" s="40">
        <v>46066.0</v>
      </c>
      <c r="S69" s="21" t="s">
        <v>23</v>
      </c>
    </row>
    <row r="70">
      <c r="A70" s="38">
        <f t="shared" si="1"/>
        <v>69</v>
      </c>
      <c r="B70" s="112" t="s">
        <v>1001</v>
      </c>
      <c r="C70" s="113">
        <v>6.32504717E8</v>
      </c>
      <c r="D70" s="112" t="s">
        <v>987</v>
      </c>
      <c r="E70" s="115" t="s">
        <v>1002</v>
      </c>
      <c r="G70" s="115" t="s">
        <v>18</v>
      </c>
      <c r="H70" s="115" t="s">
        <v>264</v>
      </c>
      <c r="J70" s="115" t="s">
        <v>359</v>
      </c>
      <c r="L70" s="137">
        <v>46046.0</v>
      </c>
      <c r="M70" s="35">
        <f t="shared" si="2"/>
        <v>46057</v>
      </c>
      <c r="N70" s="31">
        <f t="shared" si="3"/>
        <v>46065</v>
      </c>
      <c r="O70" s="40">
        <v>46057.0</v>
      </c>
      <c r="P70" s="40">
        <v>46066.0</v>
      </c>
      <c r="S70" s="21" t="s">
        <v>23</v>
      </c>
    </row>
    <row r="71">
      <c r="A71" s="38">
        <f t="shared" si="1"/>
        <v>70</v>
      </c>
      <c r="B71" s="129" t="s">
        <v>1003</v>
      </c>
      <c r="C71" s="138">
        <v>6.32504822E8</v>
      </c>
      <c r="D71" s="126" t="s">
        <v>781</v>
      </c>
      <c r="E71" s="62" t="s">
        <v>1004</v>
      </c>
      <c r="G71" s="62" t="s">
        <v>18</v>
      </c>
      <c r="H71" s="62" t="s">
        <v>40</v>
      </c>
      <c r="I71" s="7" t="s">
        <v>126</v>
      </c>
      <c r="J71" s="129" t="s">
        <v>30</v>
      </c>
      <c r="L71" s="137">
        <v>46047.0</v>
      </c>
      <c r="M71" s="35">
        <f t="shared" si="2"/>
        <v>46058</v>
      </c>
      <c r="N71" s="31">
        <f t="shared" si="3"/>
        <v>46066</v>
      </c>
      <c r="O71" s="40">
        <v>46066.0</v>
      </c>
      <c r="P71" s="40">
        <v>46062.0</v>
      </c>
      <c r="S71" s="21" t="s">
        <v>23</v>
      </c>
    </row>
    <row r="72">
      <c r="A72" s="38">
        <f t="shared" si="1"/>
        <v>71</v>
      </c>
      <c r="B72" s="129" t="s">
        <v>1005</v>
      </c>
      <c r="C72" s="138">
        <v>6.32504823E8</v>
      </c>
      <c r="D72" s="126" t="s">
        <v>781</v>
      </c>
      <c r="E72" s="62" t="s">
        <v>1006</v>
      </c>
      <c r="G72" s="62" t="s">
        <v>18</v>
      </c>
      <c r="H72" s="62" t="s">
        <v>40</v>
      </c>
      <c r="I72" s="7" t="s">
        <v>126</v>
      </c>
      <c r="J72" s="129" t="s">
        <v>30</v>
      </c>
      <c r="L72" s="137">
        <v>46047.0</v>
      </c>
      <c r="M72" s="35">
        <f t="shared" si="2"/>
        <v>46058</v>
      </c>
      <c r="N72" s="31">
        <f t="shared" si="3"/>
        <v>46066</v>
      </c>
      <c r="O72" s="40">
        <v>46066.0</v>
      </c>
      <c r="P72" s="40">
        <v>46070.0</v>
      </c>
      <c r="S72" s="21" t="s">
        <v>23</v>
      </c>
    </row>
    <row r="73">
      <c r="A73" s="38">
        <f t="shared" si="1"/>
        <v>72</v>
      </c>
      <c r="B73" s="129" t="s">
        <v>1007</v>
      </c>
      <c r="C73" s="138">
        <v>6.32504824E8</v>
      </c>
      <c r="D73" s="126" t="s">
        <v>781</v>
      </c>
      <c r="E73" s="62" t="s">
        <v>1008</v>
      </c>
      <c r="G73" s="62" t="s">
        <v>18</v>
      </c>
      <c r="H73" s="62" t="s">
        <v>40</v>
      </c>
      <c r="I73" s="7" t="s">
        <v>126</v>
      </c>
      <c r="J73" s="129" t="s">
        <v>30</v>
      </c>
      <c r="L73" s="137">
        <v>46047.0</v>
      </c>
      <c r="M73" s="35">
        <f t="shared" si="2"/>
        <v>46058</v>
      </c>
      <c r="N73" s="31">
        <f t="shared" si="3"/>
        <v>46066</v>
      </c>
      <c r="O73" s="40">
        <v>46066.0</v>
      </c>
      <c r="P73" s="40">
        <v>46070.0</v>
      </c>
      <c r="S73" s="21" t="s">
        <v>23</v>
      </c>
    </row>
    <row r="74">
      <c r="A74" s="38">
        <f t="shared" si="1"/>
        <v>73</v>
      </c>
      <c r="B74" s="129" t="s">
        <v>1009</v>
      </c>
      <c r="C74" s="138">
        <v>6.32504825E8</v>
      </c>
      <c r="D74" s="126" t="s">
        <v>781</v>
      </c>
      <c r="E74" s="62" t="s">
        <v>1010</v>
      </c>
      <c r="G74" s="62" t="s">
        <v>18</v>
      </c>
      <c r="H74" s="62" t="s">
        <v>40</v>
      </c>
      <c r="I74" s="7" t="s">
        <v>126</v>
      </c>
      <c r="J74" s="129" t="s">
        <v>30</v>
      </c>
      <c r="L74" s="137">
        <v>46047.0</v>
      </c>
      <c r="M74" s="35">
        <f t="shared" si="2"/>
        <v>46058</v>
      </c>
      <c r="N74" s="31">
        <f t="shared" si="3"/>
        <v>46066</v>
      </c>
      <c r="O74" s="40">
        <v>46066.0</v>
      </c>
      <c r="P74" s="40">
        <v>46070.0</v>
      </c>
      <c r="S74" s="21" t="s">
        <v>23</v>
      </c>
    </row>
    <row r="75">
      <c r="A75" s="38">
        <f t="shared" si="1"/>
        <v>74</v>
      </c>
      <c r="B75" s="139" t="s">
        <v>1011</v>
      </c>
      <c r="C75" s="140">
        <v>6.32504981E8</v>
      </c>
      <c r="D75" s="141" t="s">
        <v>1012</v>
      </c>
      <c r="E75" s="127" t="s">
        <v>1013</v>
      </c>
      <c r="G75" s="127" t="s">
        <v>18</v>
      </c>
      <c r="H75" s="127" t="s">
        <v>40</v>
      </c>
      <c r="I75" s="7" t="s">
        <v>126</v>
      </c>
      <c r="J75" s="115" t="s">
        <v>368</v>
      </c>
      <c r="L75" s="142" t="s">
        <v>1014</v>
      </c>
      <c r="M75" s="35">
        <f t="shared" si="2"/>
        <v>46064</v>
      </c>
      <c r="N75" s="31">
        <f t="shared" si="3"/>
        <v>46072</v>
      </c>
      <c r="O75" s="40">
        <v>46066.0</v>
      </c>
      <c r="P75" s="40">
        <v>46073.0</v>
      </c>
      <c r="S75" s="21" t="s">
        <v>23</v>
      </c>
    </row>
    <row r="76">
      <c r="A76" s="38">
        <f t="shared" si="1"/>
        <v>75</v>
      </c>
      <c r="B76" s="139" t="s">
        <v>1015</v>
      </c>
      <c r="C76" s="140">
        <v>6.32504984E8</v>
      </c>
      <c r="D76" s="141" t="s">
        <v>1012</v>
      </c>
      <c r="E76" s="127" t="s">
        <v>1016</v>
      </c>
      <c r="G76" s="127" t="s">
        <v>18</v>
      </c>
      <c r="H76" s="127" t="s">
        <v>40</v>
      </c>
      <c r="I76" s="7" t="s">
        <v>126</v>
      </c>
      <c r="J76" s="115" t="s">
        <v>368</v>
      </c>
      <c r="L76" s="142" t="s">
        <v>1014</v>
      </c>
      <c r="M76" s="35">
        <f t="shared" si="2"/>
        <v>46064</v>
      </c>
      <c r="N76" s="31">
        <f t="shared" si="3"/>
        <v>46072</v>
      </c>
      <c r="O76" s="40">
        <v>46066.0</v>
      </c>
      <c r="P76" s="40">
        <v>46073.0</v>
      </c>
      <c r="S76" s="21" t="s">
        <v>23</v>
      </c>
    </row>
    <row r="77">
      <c r="A77" s="38">
        <f t="shared" si="1"/>
        <v>76</v>
      </c>
      <c r="B77" s="139" t="s">
        <v>1017</v>
      </c>
      <c r="C77" s="140">
        <v>6.32504982E8</v>
      </c>
      <c r="D77" s="141" t="s">
        <v>1012</v>
      </c>
      <c r="E77" s="127" t="s">
        <v>1018</v>
      </c>
      <c r="G77" s="127" t="s">
        <v>18</v>
      </c>
      <c r="H77" s="127" t="s">
        <v>40</v>
      </c>
      <c r="I77" s="7" t="s">
        <v>126</v>
      </c>
      <c r="J77" s="115" t="s">
        <v>368</v>
      </c>
      <c r="L77" s="142" t="s">
        <v>1014</v>
      </c>
      <c r="M77" s="35">
        <f t="shared" si="2"/>
        <v>46064</v>
      </c>
      <c r="N77" s="31">
        <f t="shared" si="3"/>
        <v>46072</v>
      </c>
      <c r="O77" s="40">
        <v>46066.0</v>
      </c>
      <c r="P77" s="40">
        <v>46073.0</v>
      </c>
      <c r="S77" s="21" t="s">
        <v>23</v>
      </c>
    </row>
    <row r="78">
      <c r="A78" s="38">
        <f t="shared" si="1"/>
        <v>77</v>
      </c>
      <c r="B78" s="139" t="s">
        <v>1019</v>
      </c>
      <c r="C78" s="140">
        <v>6.32504983E8</v>
      </c>
      <c r="D78" s="141" t="s">
        <v>1012</v>
      </c>
      <c r="E78" s="127" t="s">
        <v>1020</v>
      </c>
      <c r="G78" s="127" t="s">
        <v>18</v>
      </c>
      <c r="H78" s="127" t="s">
        <v>40</v>
      </c>
      <c r="I78" s="7" t="s">
        <v>126</v>
      </c>
      <c r="J78" s="115" t="s">
        <v>368</v>
      </c>
      <c r="L78" s="142" t="s">
        <v>1014</v>
      </c>
      <c r="M78" s="35">
        <f t="shared" si="2"/>
        <v>46064</v>
      </c>
      <c r="N78" s="31">
        <f t="shared" si="3"/>
        <v>46072</v>
      </c>
      <c r="O78" s="40">
        <v>46066.0</v>
      </c>
      <c r="P78" s="40">
        <v>46073.0</v>
      </c>
      <c r="S78" s="21" t="s">
        <v>23</v>
      </c>
    </row>
    <row r="79">
      <c r="A79" s="38">
        <f t="shared" si="1"/>
        <v>78</v>
      </c>
      <c r="B79" s="129" t="s">
        <v>1021</v>
      </c>
      <c r="C79" s="138">
        <v>6.32504847E8</v>
      </c>
      <c r="D79" s="126" t="s">
        <v>1022</v>
      </c>
      <c r="E79" s="143" t="s">
        <v>1023</v>
      </c>
      <c r="G79" s="143" t="s">
        <v>624</v>
      </c>
      <c r="H79" s="143" t="s">
        <v>264</v>
      </c>
      <c r="J79" s="115" t="s">
        <v>1024</v>
      </c>
      <c r="L79" s="129" t="s">
        <v>1014</v>
      </c>
      <c r="M79" s="35">
        <f t="shared" si="2"/>
        <v>46064</v>
      </c>
      <c r="N79" s="31">
        <f t="shared" si="3"/>
        <v>46072</v>
      </c>
      <c r="O79" s="40">
        <v>46066.0</v>
      </c>
      <c r="P79" s="40">
        <v>46077.0</v>
      </c>
      <c r="S79" s="21" t="s">
        <v>23</v>
      </c>
    </row>
    <row r="86">
      <c r="D86" s="144"/>
    </row>
    <row r="87">
      <c r="D87" s="144"/>
    </row>
    <row r="88">
      <c r="D88" s="144"/>
    </row>
    <row r="89">
      <c r="D89" s="144"/>
    </row>
    <row r="90">
      <c r="D90" s="144"/>
    </row>
    <row r="91">
      <c r="D91" s="144"/>
    </row>
    <row r="92">
      <c r="D92" s="144"/>
    </row>
    <row r="93">
      <c r="D93" s="144"/>
    </row>
    <row r="94">
      <c r="D94" s="144"/>
    </row>
    <row r="95">
      <c r="D95" s="144"/>
    </row>
    <row r="96">
      <c r="D96" s="144"/>
    </row>
    <row r="97">
      <c r="D97" s="144"/>
    </row>
    <row r="98">
      <c r="D98" s="144"/>
    </row>
    <row r="99">
      <c r="D99" s="144"/>
    </row>
    <row r="100">
      <c r="D100" s="144"/>
    </row>
    <row r="101">
      <c r="D101" s="144"/>
    </row>
    <row r="102">
      <c r="D102" s="144"/>
    </row>
    <row r="103">
      <c r="D103" s="144"/>
    </row>
    <row r="104">
      <c r="D104" s="144"/>
    </row>
    <row r="105">
      <c r="D105" s="144"/>
    </row>
    <row r="106">
      <c r="D106" s="144"/>
    </row>
    <row r="107">
      <c r="D107" s="144"/>
    </row>
    <row r="108">
      <c r="D108" s="144"/>
    </row>
    <row r="109">
      <c r="D109" s="144"/>
    </row>
    <row r="110">
      <c r="D110" s="144"/>
    </row>
    <row r="111">
      <c r="D111" s="144"/>
    </row>
    <row r="112">
      <c r="D112" s="144"/>
    </row>
    <row r="113">
      <c r="D113" s="144"/>
    </row>
    <row r="114">
      <c r="D114" s="144"/>
    </row>
    <row r="115">
      <c r="D115" s="144"/>
    </row>
    <row r="116">
      <c r="D116" s="144"/>
    </row>
    <row r="117">
      <c r="D117" s="144"/>
    </row>
    <row r="118">
      <c r="D118" s="144"/>
    </row>
    <row r="119">
      <c r="D119" s="144"/>
    </row>
    <row r="120">
      <c r="D120" s="144"/>
    </row>
    <row r="121">
      <c r="D121" s="144"/>
    </row>
    <row r="122">
      <c r="D122" s="144"/>
    </row>
    <row r="123">
      <c r="D123" s="144"/>
    </row>
    <row r="124">
      <c r="D124" s="144"/>
    </row>
    <row r="125">
      <c r="D125" s="144"/>
    </row>
    <row r="126">
      <c r="D126" s="144"/>
    </row>
    <row r="127">
      <c r="D127" s="144"/>
    </row>
    <row r="128">
      <c r="D128" s="144"/>
    </row>
    <row r="129">
      <c r="D129" s="144"/>
    </row>
    <row r="130">
      <c r="D130" s="144"/>
    </row>
    <row r="131">
      <c r="D131" s="144"/>
    </row>
    <row r="132">
      <c r="D132" s="144"/>
    </row>
    <row r="133">
      <c r="D133" s="144"/>
    </row>
    <row r="134">
      <c r="D134" s="144"/>
    </row>
    <row r="135">
      <c r="D135" s="144"/>
    </row>
    <row r="136">
      <c r="D136" s="144"/>
    </row>
    <row r="137">
      <c r="D137" s="144"/>
    </row>
    <row r="138">
      <c r="D138" s="144"/>
    </row>
    <row r="139">
      <c r="D139" s="144"/>
    </row>
    <row r="140">
      <c r="D140" s="144"/>
    </row>
    <row r="141">
      <c r="D141" s="144"/>
    </row>
    <row r="142">
      <c r="D142" s="144"/>
    </row>
    <row r="143">
      <c r="D143" s="144"/>
    </row>
    <row r="144">
      <c r="D144" s="144"/>
    </row>
    <row r="145">
      <c r="D145" s="144"/>
    </row>
    <row r="146">
      <c r="D146" s="144"/>
    </row>
    <row r="147">
      <c r="D147" s="144"/>
    </row>
    <row r="148">
      <c r="D148" s="144"/>
    </row>
    <row r="149">
      <c r="D149" s="144"/>
    </row>
    <row r="150">
      <c r="D150" s="144"/>
    </row>
    <row r="151">
      <c r="D151" s="144"/>
    </row>
    <row r="152">
      <c r="D152" s="144"/>
    </row>
    <row r="153">
      <c r="D153" s="144"/>
    </row>
    <row r="154">
      <c r="D154" s="144"/>
    </row>
    <row r="155">
      <c r="D155" s="144"/>
    </row>
    <row r="156">
      <c r="D156" s="144"/>
    </row>
    <row r="157">
      <c r="D157" s="144"/>
    </row>
    <row r="158">
      <c r="D158" s="144"/>
    </row>
    <row r="159">
      <c r="D159" s="144"/>
    </row>
    <row r="160">
      <c r="D160" s="144"/>
    </row>
    <row r="161">
      <c r="D161" s="144"/>
    </row>
    <row r="162">
      <c r="D162" s="144"/>
    </row>
    <row r="163">
      <c r="D163" s="144"/>
    </row>
    <row r="164">
      <c r="D164" s="144"/>
    </row>
    <row r="165">
      <c r="D165" s="144"/>
    </row>
    <row r="166">
      <c r="D166" s="144"/>
    </row>
    <row r="167">
      <c r="D167" s="144"/>
    </row>
    <row r="168">
      <c r="D168" s="144"/>
    </row>
    <row r="169">
      <c r="D169" s="144"/>
    </row>
    <row r="170">
      <c r="D170" s="144"/>
    </row>
    <row r="171">
      <c r="D171" s="144"/>
    </row>
    <row r="172">
      <c r="D172" s="144"/>
    </row>
    <row r="173">
      <c r="D173" s="144"/>
    </row>
    <row r="174">
      <c r="D174" s="144"/>
    </row>
    <row r="175">
      <c r="D175" s="144"/>
    </row>
    <row r="176">
      <c r="D176" s="144"/>
    </row>
    <row r="177">
      <c r="D177" s="144"/>
    </row>
    <row r="178">
      <c r="D178" s="144"/>
    </row>
    <row r="179">
      <c r="D179" s="144"/>
    </row>
    <row r="180">
      <c r="D180" s="144"/>
    </row>
    <row r="181">
      <c r="D181" s="144"/>
    </row>
    <row r="182">
      <c r="D182" s="144"/>
    </row>
    <row r="183">
      <c r="D183" s="144"/>
    </row>
    <row r="184">
      <c r="D184" s="144"/>
    </row>
    <row r="185">
      <c r="D185" s="144"/>
    </row>
    <row r="186">
      <c r="D186" s="144"/>
    </row>
    <row r="187">
      <c r="D187" s="144"/>
    </row>
    <row r="188">
      <c r="D188" s="144"/>
    </row>
    <row r="189">
      <c r="D189" s="144"/>
    </row>
    <row r="190">
      <c r="D190" s="144"/>
    </row>
    <row r="191">
      <c r="D191" s="144"/>
    </row>
    <row r="192">
      <c r="D192" s="144"/>
    </row>
    <row r="193">
      <c r="D193" s="144"/>
    </row>
    <row r="194">
      <c r="D194" s="144"/>
    </row>
    <row r="195">
      <c r="D195" s="144"/>
    </row>
    <row r="196">
      <c r="D196" s="144"/>
    </row>
    <row r="197">
      <c r="D197" s="144"/>
    </row>
    <row r="198">
      <c r="D198" s="144"/>
    </row>
    <row r="199">
      <c r="D199" s="144"/>
    </row>
    <row r="200">
      <c r="D200" s="144"/>
    </row>
    <row r="201">
      <c r="D201" s="144"/>
    </row>
    <row r="202">
      <c r="D202" s="144"/>
    </row>
    <row r="203">
      <c r="D203" s="144"/>
    </row>
    <row r="204">
      <c r="D204" s="144"/>
    </row>
    <row r="205">
      <c r="D205" s="144"/>
    </row>
    <row r="206">
      <c r="D206" s="144"/>
    </row>
    <row r="207">
      <c r="D207" s="144"/>
    </row>
    <row r="208">
      <c r="D208" s="144"/>
    </row>
    <row r="209">
      <c r="D209" s="144"/>
    </row>
    <row r="210">
      <c r="D210" s="144"/>
    </row>
    <row r="211">
      <c r="D211" s="144"/>
    </row>
    <row r="212">
      <c r="D212" s="144"/>
    </row>
    <row r="213">
      <c r="D213" s="144"/>
    </row>
    <row r="214">
      <c r="D214" s="144"/>
    </row>
    <row r="215">
      <c r="D215" s="144"/>
    </row>
    <row r="216">
      <c r="D216" s="144"/>
    </row>
    <row r="217">
      <c r="D217" s="144"/>
    </row>
    <row r="218">
      <c r="D218" s="144"/>
    </row>
    <row r="219">
      <c r="D219" s="144"/>
    </row>
    <row r="220">
      <c r="D220" s="144"/>
    </row>
    <row r="221">
      <c r="D221" s="144"/>
    </row>
    <row r="222">
      <c r="D222" s="144"/>
    </row>
    <row r="223">
      <c r="D223" s="144"/>
    </row>
    <row r="224">
      <c r="D224" s="144"/>
    </row>
    <row r="225">
      <c r="D225" s="144"/>
    </row>
    <row r="226">
      <c r="D226" s="144"/>
    </row>
    <row r="227">
      <c r="D227" s="144"/>
    </row>
    <row r="228">
      <c r="D228" s="144"/>
    </row>
    <row r="229">
      <c r="D229" s="144"/>
    </row>
    <row r="230">
      <c r="D230" s="144"/>
    </row>
    <row r="231">
      <c r="D231" s="144"/>
    </row>
    <row r="232">
      <c r="D232" s="144"/>
    </row>
    <row r="233">
      <c r="D233" s="144"/>
    </row>
    <row r="234">
      <c r="D234" s="144"/>
    </row>
    <row r="235">
      <c r="D235" s="144"/>
    </row>
    <row r="236">
      <c r="D236" s="144"/>
    </row>
    <row r="237">
      <c r="D237" s="144"/>
    </row>
    <row r="238">
      <c r="D238" s="144"/>
    </row>
    <row r="239">
      <c r="D239" s="144"/>
    </row>
    <row r="240">
      <c r="D240" s="144"/>
    </row>
    <row r="241">
      <c r="D241" s="144"/>
    </row>
    <row r="242">
      <c r="D242" s="144"/>
    </row>
    <row r="243">
      <c r="D243" s="144"/>
    </row>
    <row r="244">
      <c r="D244" s="144"/>
    </row>
    <row r="245">
      <c r="D245" s="144"/>
    </row>
    <row r="246">
      <c r="D246" s="144"/>
    </row>
    <row r="247">
      <c r="D247" s="144"/>
    </row>
    <row r="248">
      <c r="D248" s="144"/>
    </row>
    <row r="249">
      <c r="D249" s="144"/>
    </row>
    <row r="250">
      <c r="D250" s="144"/>
    </row>
    <row r="251">
      <c r="D251" s="144"/>
    </row>
    <row r="252">
      <c r="D252" s="144"/>
    </row>
    <row r="253">
      <c r="D253" s="144"/>
    </row>
    <row r="254">
      <c r="D254" s="144"/>
    </row>
    <row r="255">
      <c r="D255" s="144"/>
    </row>
    <row r="256">
      <c r="D256" s="144"/>
    </row>
    <row r="257">
      <c r="D257" s="144"/>
    </row>
    <row r="258">
      <c r="D258" s="144"/>
    </row>
    <row r="259">
      <c r="D259" s="144"/>
    </row>
    <row r="260">
      <c r="D260" s="144"/>
    </row>
    <row r="261">
      <c r="D261" s="144"/>
    </row>
    <row r="262">
      <c r="D262" s="144"/>
    </row>
    <row r="263">
      <c r="D263" s="144"/>
    </row>
    <row r="264">
      <c r="D264" s="144"/>
    </row>
    <row r="265">
      <c r="D265" s="144"/>
    </row>
    <row r="266">
      <c r="D266" s="144"/>
    </row>
    <row r="267">
      <c r="D267" s="144"/>
    </row>
    <row r="268">
      <c r="D268" s="144"/>
    </row>
    <row r="269">
      <c r="D269" s="144"/>
    </row>
    <row r="270">
      <c r="D270" s="144"/>
    </row>
    <row r="271">
      <c r="D271" s="144"/>
    </row>
    <row r="272">
      <c r="D272" s="144"/>
    </row>
    <row r="273">
      <c r="D273" s="144"/>
    </row>
    <row r="274">
      <c r="D274" s="144"/>
    </row>
    <row r="275">
      <c r="D275" s="144"/>
    </row>
    <row r="276">
      <c r="D276" s="144"/>
    </row>
    <row r="277">
      <c r="D277" s="144"/>
    </row>
    <row r="278">
      <c r="D278" s="144"/>
    </row>
    <row r="279">
      <c r="D279" s="144"/>
    </row>
    <row r="280">
      <c r="D280" s="144"/>
    </row>
    <row r="281">
      <c r="D281" s="144"/>
    </row>
    <row r="282">
      <c r="D282" s="144"/>
    </row>
    <row r="283">
      <c r="D283" s="144"/>
    </row>
    <row r="284">
      <c r="D284" s="144"/>
    </row>
    <row r="285">
      <c r="D285" s="144"/>
    </row>
    <row r="286">
      <c r="D286" s="144"/>
    </row>
    <row r="287">
      <c r="D287" s="144"/>
    </row>
    <row r="288">
      <c r="D288" s="144"/>
    </row>
    <row r="289">
      <c r="D289" s="144"/>
    </row>
    <row r="290">
      <c r="D290" s="144"/>
    </row>
    <row r="291">
      <c r="D291" s="144"/>
    </row>
    <row r="292">
      <c r="D292" s="144"/>
    </row>
    <row r="293">
      <c r="D293" s="144"/>
    </row>
    <row r="294">
      <c r="D294" s="144"/>
    </row>
    <row r="295">
      <c r="D295" s="144"/>
    </row>
    <row r="296">
      <c r="D296" s="144"/>
    </row>
    <row r="297">
      <c r="D297" s="144"/>
    </row>
    <row r="298">
      <c r="D298" s="144"/>
    </row>
    <row r="299">
      <c r="D299" s="144"/>
    </row>
    <row r="300">
      <c r="D300" s="144"/>
    </row>
    <row r="301">
      <c r="D301" s="144"/>
    </row>
    <row r="302">
      <c r="D302" s="144"/>
    </row>
    <row r="303">
      <c r="D303" s="144"/>
    </row>
    <row r="304">
      <c r="D304" s="144"/>
    </row>
    <row r="305">
      <c r="D305" s="144"/>
    </row>
    <row r="306">
      <c r="D306" s="144"/>
    </row>
    <row r="307">
      <c r="D307" s="144"/>
    </row>
    <row r="308">
      <c r="D308" s="144"/>
    </row>
    <row r="309">
      <c r="D309" s="144"/>
    </row>
    <row r="310">
      <c r="D310" s="144"/>
    </row>
    <row r="311">
      <c r="D311" s="144"/>
    </row>
    <row r="312">
      <c r="D312" s="144"/>
    </row>
    <row r="313">
      <c r="D313" s="144"/>
    </row>
    <row r="314">
      <c r="D314" s="144"/>
    </row>
    <row r="315">
      <c r="D315" s="144"/>
    </row>
    <row r="316">
      <c r="D316" s="144"/>
    </row>
    <row r="317">
      <c r="D317" s="144"/>
    </row>
    <row r="318">
      <c r="D318" s="144"/>
    </row>
    <row r="319">
      <c r="D319" s="144"/>
    </row>
    <row r="320">
      <c r="D320" s="144"/>
    </row>
    <row r="321">
      <c r="D321" s="144"/>
    </row>
    <row r="322">
      <c r="D322" s="144"/>
    </row>
    <row r="323">
      <c r="D323" s="144"/>
    </row>
    <row r="324">
      <c r="D324" s="144"/>
    </row>
    <row r="325">
      <c r="D325" s="144"/>
    </row>
    <row r="326">
      <c r="D326" s="144"/>
    </row>
    <row r="327">
      <c r="D327" s="144"/>
    </row>
    <row r="328">
      <c r="D328" s="144"/>
    </row>
    <row r="329">
      <c r="D329" s="144"/>
    </row>
    <row r="330">
      <c r="D330" s="144"/>
    </row>
    <row r="331">
      <c r="D331" s="144"/>
    </row>
    <row r="332">
      <c r="D332" s="144"/>
    </row>
    <row r="333">
      <c r="D333" s="144"/>
    </row>
    <row r="334">
      <c r="D334" s="144"/>
    </row>
    <row r="335">
      <c r="D335" s="144"/>
    </row>
    <row r="336">
      <c r="D336" s="144"/>
    </row>
    <row r="337">
      <c r="D337" s="144"/>
    </row>
    <row r="338">
      <c r="D338" s="144"/>
    </row>
    <row r="339">
      <c r="D339" s="144"/>
    </row>
    <row r="340">
      <c r="D340" s="144"/>
    </row>
    <row r="341">
      <c r="D341" s="144"/>
    </row>
    <row r="342">
      <c r="D342" s="144"/>
    </row>
    <row r="343">
      <c r="D343" s="144"/>
    </row>
    <row r="344">
      <c r="D344" s="144"/>
    </row>
    <row r="345">
      <c r="D345" s="144"/>
    </row>
    <row r="346">
      <c r="D346" s="144"/>
    </row>
    <row r="347">
      <c r="D347" s="144"/>
    </row>
    <row r="348">
      <c r="D348" s="144"/>
    </row>
    <row r="349">
      <c r="D349" s="144"/>
    </row>
    <row r="350">
      <c r="D350" s="144"/>
    </row>
    <row r="351">
      <c r="D351" s="144"/>
    </row>
    <row r="352">
      <c r="D352" s="144"/>
    </row>
    <row r="353">
      <c r="D353" s="144"/>
    </row>
    <row r="354">
      <c r="D354" s="144"/>
    </row>
    <row r="355">
      <c r="D355" s="144"/>
    </row>
    <row r="356">
      <c r="D356" s="144"/>
    </row>
    <row r="357">
      <c r="D357" s="144"/>
    </row>
    <row r="358">
      <c r="D358" s="144"/>
    </row>
    <row r="359">
      <c r="D359" s="144"/>
    </row>
    <row r="360">
      <c r="D360" s="144"/>
    </row>
    <row r="361">
      <c r="D361" s="144"/>
    </row>
    <row r="362">
      <c r="D362" s="144"/>
    </row>
    <row r="363">
      <c r="D363" s="144"/>
    </row>
    <row r="364">
      <c r="D364" s="144"/>
    </row>
    <row r="365">
      <c r="D365" s="144"/>
    </row>
    <row r="366">
      <c r="D366" s="144"/>
    </row>
    <row r="367">
      <c r="D367" s="144"/>
    </row>
    <row r="368">
      <c r="D368" s="144"/>
    </row>
    <row r="369">
      <c r="D369" s="144"/>
    </row>
    <row r="370">
      <c r="D370" s="144"/>
    </row>
    <row r="371">
      <c r="D371" s="144"/>
    </row>
    <row r="372">
      <c r="D372" s="144"/>
    </row>
    <row r="373">
      <c r="D373" s="144"/>
    </row>
    <row r="374">
      <c r="D374" s="144"/>
    </row>
    <row r="375">
      <c r="D375" s="144"/>
    </row>
    <row r="376">
      <c r="D376" s="144"/>
    </row>
    <row r="377">
      <c r="D377" s="144"/>
    </row>
    <row r="378">
      <c r="D378" s="144"/>
    </row>
    <row r="379">
      <c r="D379" s="144"/>
    </row>
    <row r="380">
      <c r="D380" s="144"/>
    </row>
    <row r="381">
      <c r="D381" s="144"/>
    </row>
    <row r="382">
      <c r="D382" s="144"/>
    </row>
    <row r="383">
      <c r="D383" s="144"/>
    </row>
    <row r="384">
      <c r="D384" s="144"/>
    </row>
    <row r="385">
      <c r="D385" s="144"/>
    </row>
    <row r="386">
      <c r="D386" s="144"/>
    </row>
    <row r="387">
      <c r="D387" s="144"/>
    </row>
    <row r="388">
      <c r="D388" s="144"/>
    </row>
    <row r="389">
      <c r="D389" s="144"/>
    </row>
    <row r="390">
      <c r="D390" s="144"/>
    </row>
    <row r="391">
      <c r="D391" s="144"/>
    </row>
    <row r="392">
      <c r="D392" s="144"/>
    </row>
    <row r="393">
      <c r="D393" s="144"/>
    </row>
    <row r="394">
      <c r="D394" s="144"/>
    </row>
    <row r="395">
      <c r="D395" s="144"/>
    </row>
    <row r="396">
      <c r="D396" s="144"/>
    </row>
    <row r="397">
      <c r="D397" s="144"/>
    </row>
    <row r="398">
      <c r="D398" s="144"/>
    </row>
    <row r="399">
      <c r="D399" s="144"/>
    </row>
    <row r="400">
      <c r="D400" s="144"/>
    </row>
    <row r="401">
      <c r="D401" s="144"/>
    </row>
    <row r="402">
      <c r="D402" s="144"/>
    </row>
    <row r="403">
      <c r="D403" s="144"/>
    </row>
    <row r="404">
      <c r="D404" s="144"/>
    </row>
    <row r="405">
      <c r="D405" s="144"/>
    </row>
    <row r="406">
      <c r="D406" s="144"/>
    </row>
    <row r="407">
      <c r="D407" s="144"/>
    </row>
    <row r="408">
      <c r="D408" s="144"/>
    </row>
    <row r="409">
      <c r="D409" s="144"/>
    </row>
    <row r="410">
      <c r="D410" s="144"/>
    </row>
    <row r="411">
      <c r="D411" s="144"/>
    </row>
    <row r="412">
      <c r="D412" s="144"/>
    </row>
    <row r="413">
      <c r="D413" s="144"/>
    </row>
    <row r="414">
      <c r="D414" s="144"/>
    </row>
    <row r="415">
      <c r="D415" s="144"/>
    </row>
    <row r="416">
      <c r="D416" s="144"/>
    </row>
    <row r="417">
      <c r="D417" s="144"/>
    </row>
    <row r="418">
      <c r="D418" s="144"/>
    </row>
    <row r="419">
      <c r="D419" s="144"/>
    </row>
    <row r="420">
      <c r="D420" s="144"/>
    </row>
    <row r="421">
      <c r="D421" s="144"/>
    </row>
    <row r="422">
      <c r="D422" s="144"/>
    </row>
    <row r="423">
      <c r="D423" s="144"/>
    </row>
    <row r="424">
      <c r="D424" s="144"/>
    </row>
    <row r="425">
      <c r="D425" s="144"/>
    </row>
    <row r="426">
      <c r="D426" s="144"/>
    </row>
    <row r="427">
      <c r="D427" s="144"/>
    </row>
    <row r="428">
      <c r="D428" s="144"/>
    </row>
    <row r="429">
      <c r="D429" s="144"/>
    </row>
    <row r="430">
      <c r="D430" s="144"/>
    </row>
    <row r="431">
      <c r="D431" s="144"/>
    </row>
    <row r="432">
      <c r="D432" s="144"/>
    </row>
    <row r="433">
      <c r="D433" s="144"/>
    </row>
    <row r="434">
      <c r="D434" s="144"/>
    </row>
    <row r="435">
      <c r="D435" s="144"/>
    </row>
    <row r="436">
      <c r="D436" s="144"/>
    </row>
    <row r="437">
      <c r="D437" s="144"/>
    </row>
    <row r="438">
      <c r="D438" s="144"/>
    </row>
    <row r="439">
      <c r="D439" s="144"/>
    </row>
    <row r="440">
      <c r="D440" s="144"/>
    </row>
    <row r="441">
      <c r="D441" s="144"/>
    </row>
    <row r="442">
      <c r="D442" s="144"/>
    </row>
    <row r="443">
      <c r="D443" s="144"/>
    </row>
    <row r="444">
      <c r="D444" s="144"/>
    </row>
    <row r="445">
      <c r="D445" s="144"/>
    </row>
    <row r="446">
      <c r="D446" s="144"/>
    </row>
    <row r="447">
      <c r="D447" s="144"/>
    </row>
    <row r="448">
      <c r="D448" s="144"/>
    </row>
    <row r="449">
      <c r="D449" s="144"/>
    </row>
    <row r="450">
      <c r="D450" s="144"/>
    </row>
    <row r="451">
      <c r="D451" s="144"/>
    </row>
    <row r="452">
      <c r="D452" s="144"/>
    </row>
    <row r="453">
      <c r="D453" s="144"/>
    </row>
    <row r="454">
      <c r="D454" s="144"/>
    </row>
    <row r="455">
      <c r="D455" s="144"/>
    </row>
    <row r="456">
      <c r="D456" s="144"/>
    </row>
    <row r="457">
      <c r="D457" s="144"/>
    </row>
    <row r="458">
      <c r="D458" s="144"/>
    </row>
    <row r="459">
      <c r="D459" s="144"/>
    </row>
    <row r="460">
      <c r="D460" s="144"/>
    </row>
    <row r="461">
      <c r="D461" s="144"/>
    </row>
    <row r="462">
      <c r="D462" s="144"/>
    </row>
    <row r="463">
      <c r="D463" s="144"/>
    </row>
    <row r="464">
      <c r="D464" s="144"/>
    </row>
    <row r="465">
      <c r="D465" s="144"/>
    </row>
    <row r="466">
      <c r="D466" s="144"/>
    </row>
    <row r="467">
      <c r="D467" s="144"/>
    </row>
    <row r="468">
      <c r="D468" s="144"/>
    </row>
    <row r="469">
      <c r="D469" s="144"/>
    </row>
    <row r="470">
      <c r="D470" s="144"/>
    </row>
    <row r="471">
      <c r="D471" s="144"/>
    </row>
    <row r="472">
      <c r="D472" s="144"/>
    </row>
    <row r="473">
      <c r="D473" s="144"/>
    </row>
    <row r="474">
      <c r="D474" s="144"/>
    </row>
    <row r="475">
      <c r="D475" s="144"/>
    </row>
    <row r="476">
      <c r="D476" s="144"/>
    </row>
    <row r="477">
      <c r="D477" s="144"/>
    </row>
    <row r="478">
      <c r="D478" s="144"/>
    </row>
    <row r="479">
      <c r="D479" s="144"/>
    </row>
    <row r="480">
      <c r="D480" s="144"/>
    </row>
    <row r="481">
      <c r="D481" s="144"/>
    </row>
    <row r="482">
      <c r="D482" s="144"/>
    </row>
    <row r="483">
      <c r="D483" s="144"/>
    </row>
    <row r="484">
      <c r="D484" s="144"/>
    </row>
    <row r="485">
      <c r="D485" s="144"/>
    </row>
    <row r="486">
      <c r="D486" s="144"/>
    </row>
    <row r="487">
      <c r="D487" s="144"/>
    </row>
    <row r="488">
      <c r="D488" s="144"/>
    </row>
    <row r="489">
      <c r="D489" s="144"/>
    </row>
    <row r="490">
      <c r="D490" s="144"/>
    </row>
    <row r="491">
      <c r="D491" s="144"/>
    </row>
    <row r="492">
      <c r="D492" s="144"/>
    </row>
    <row r="493">
      <c r="D493" s="144"/>
    </row>
    <row r="494">
      <c r="D494" s="144"/>
    </row>
    <row r="495">
      <c r="D495" s="144"/>
    </row>
    <row r="496">
      <c r="D496" s="144"/>
    </row>
    <row r="497">
      <c r="D497" s="144"/>
    </row>
    <row r="498">
      <c r="D498" s="144"/>
    </row>
    <row r="499">
      <c r="D499" s="144"/>
    </row>
    <row r="500">
      <c r="D500" s="144"/>
    </row>
    <row r="501">
      <c r="D501" s="144"/>
    </row>
    <row r="502">
      <c r="D502" s="144"/>
    </row>
    <row r="503">
      <c r="D503" s="144"/>
    </row>
    <row r="504">
      <c r="D504" s="144"/>
    </row>
    <row r="505">
      <c r="D505" s="144"/>
    </row>
    <row r="506">
      <c r="D506" s="144"/>
    </row>
    <row r="507">
      <c r="D507" s="144"/>
    </row>
    <row r="508">
      <c r="D508" s="144"/>
    </row>
    <row r="509">
      <c r="D509" s="144"/>
    </row>
    <row r="510">
      <c r="D510" s="144"/>
    </row>
    <row r="511">
      <c r="D511" s="144"/>
    </row>
    <row r="512">
      <c r="D512" s="144"/>
    </row>
    <row r="513">
      <c r="D513" s="144"/>
    </row>
    <row r="514">
      <c r="D514" s="144"/>
    </row>
    <row r="515">
      <c r="D515" s="144"/>
    </row>
    <row r="516">
      <c r="D516" s="144"/>
    </row>
    <row r="517">
      <c r="D517" s="144"/>
    </row>
    <row r="518">
      <c r="D518" s="144"/>
    </row>
    <row r="519">
      <c r="D519" s="144"/>
    </row>
    <row r="520">
      <c r="D520" s="144"/>
    </row>
    <row r="521">
      <c r="D521" s="144"/>
    </row>
    <row r="522">
      <c r="D522" s="144"/>
    </row>
    <row r="523">
      <c r="D523" s="144"/>
    </row>
    <row r="524">
      <c r="D524" s="144"/>
    </row>
    <row r="525">
      <c r="D525" s="144"/>
    </row>
    <row r="526">
      <c r="D526" s="144"/>
    </row>
    <row r="527">
      <c r="D527" s="144"/>
    </row>
    <row r="528">
      <c r="D528" s="144"/>
    </row>
    <row r="529">
      <c r="D529" s="144"/>
    </row>
    <row r="530">
      <c r="D530" s="144"/>
    </row>
    <row r="531">
      <c r="D531" s="144"/>
    </row>
    <row r="532">
      <c r="D532" s="144"/>
    </row>
    <row r="533">
      <c r="D533" s="144"/>
    </row>
    <row r="534">
      <c r="D534" s="144"/>
    </row>
    <row r="535">
      <c r="D535" s="144"/>
    </row>
    <row r="536">
      <c r="D536" s="144"/>
    </row>
    <row r="537">
      <c r="D537" s="144"/>
    </row>
    <row r="538">
      <c r="D538" s="144"/>
    </row>
    <row r="539">
      <c r="D539" s="144"/>
    </row>
    <row r="540">
      <c r="D540" s="144"/>
    </row>
    <row r="541">
      <c r="D541" s="144"/>
    </row>
    <row r="542">
      <c r="D542" s="144"/>
    </row>
    <row r="543">
      <c r="D543" s="144"/>
    </row>
    <row r="544">
      <c r="D544" s="144"/>
    </row>
    <row r="545">
      <c r="D545" s="144"/>
    </row>
    <row r="546">
      <c r="D546" s="144"/>
    </row>
    <row r="547">
      <c r="D547" s="144"/>
    </row>
    <row r="548">
      <c r="D548" s="144"/>
    </row>
    <row r="549">
      <c r="D549" s="144"/>
    </row>
    <row r="550">
      <c r="D550" s="144"/>
    </row>
    <row r="551">
      <c r="D551" s="144"/>
    </row>
    <row r="552">
      <c r="D552" s="144"/>
    </row>
    <row r="553">
      <c r="D553" s="144"/>
    </row>
    <row r="554">
      <c r="D554" s="144"/>
    </row>
    <row r="555">
      <c r="D555" s="144"/>
    </row>
    <row r="556">
      <c r="D556" s="144"/>
    </row>
    <row r="557">
      <c r="D557" s="144"/>
    </row>
    <row r="558">
      <c r="D558" s="144"/>
    </row>
    <row r="559">
      <c r="D559" s="144"/>
    </row>
    <row r="560">
      <c r="D560" s="144"/>
    </row>
    <row r="561">
      <c r="D561" s="144"/>
    </row>
    <row r="562">
      <c r="D562" s="144"/>
    </row>
    <row r="563">
      <c r="D563" s="144"/>
    </row>
    <row r="564">
      <c r="D564" s="144"/>
    </row>
    <row r="565">
      <c r="D565" s="144"/>
    </row>
    <row r="566">
      <c r="D566" s="144"/>
    </row>
    <row r="567">
      <c r="D567" s="144"/>
    </row>
    <row r="568">
      <c r="D568" s="144"/>
    </row>
    <row r="569">
      <c r="D569" s="144"/>
    </row>
    <row r="570">
      <c r="D570" s="144"/>
    </row>
    <row r="571">
      <c r="D571" s="144"/>
    </row>
    <row r="572">
      <c r="D572" s="144"/>
    </row>
    <row r="573">
      <c r="D573" s="144"/>
    </row>
    <row r="574">
      <c r="D574" s="144"/>
    </row>
    <row r="575">
      <c r="D575" s="144"/>
    </row>
    <row r="576">
      <c r="D576" s="144"/>
    </row>
    <row r="577">
      <c r="D577" s="144"/>
    </row>
    <row r="578">
      <c r="D578" s="144"/>
    </row>
    <row r="579">
      <c r="D579" s="144"/>
    </row>
    <row r="580">
      <c r="D580" s="144"/>
    </row>
    <row r="581">
      <c r="D581" s="144"/>
    </row>
    <row r="582">
      <c r="D582" s="144"/>
    </row>
    <row r="583">
      <c r="D583" s="144"/>
    </row>
    <row r="584">
      <c r="D584" s="144"/>
    </row>
    <row r="585">
      <c r="D585" s="144"/>
    </row>
    <row r="586">
      <c r="D586" s="144"/>
    </row>
    <row r="587">
      <c r="D587" s="144"/>
    </row>
    <row r="588">
      <c r="D588" s="144"/>
    </row>
    <row r="589">
      <c r="D589" s="144"/>
    </row>
    <row r="590">
      <c r="D590" s="144"/>
    </row>
    <row r="591">
      <c r="D591" s="144"/>
    </row>
    <row r="592">
      <c r="D592" s="144"/>
    </row>
    <row r="593">
      <c r="D593" s="144"/>
    </row>
    <row r="594">
      <c r="D594" s="144"/>
    </row>
    <row r="595">
      <c r="D595" s="144"/>
    </row>
    <row r="596">
      <c r="D596" s="144"/>
    </row>
    <row r="597">
      <c r="D597" s="144"/>
    </row>
    <row r="598">
      <c r="D598" s="144"/>
    </row>
    <row r="599">
      <c r="D599" s="144"/>
    </row>
    <row r="600">
      <c r="D600" s="144"/>
    </row>
    <row r="601">
      <c r="D601" s="144"/>
    </row>
    <row r="602">
      <c r="D602" s="144"/>
    </row>
    <row r="603">
      <c r="D603" s="144"/>
    </row>
    <row r="604">
      <c r="D604" s="144"/>
    </row>
    <row r="605">
      <c r="D605" s="144"/>
    </row>
    <row r="606">
      <c r="D606" s="144"/>
    </row>
    <row r="607">
      <c r="D607" s="144"/>
    </row>
    <row r="608">
      <c r="D608" s="144"/>
    </row>
    <row r="609">
      <c r="D609" s="144"/>
    </row>
    <row r="610">
      <c r="D610" s="144"/>
    </row>
    <row r="611">
      <c r="D611" s="144"/>
    </row>
    <row r="612">
      <c r="D612" s="144"/>
    </row>
    <row r="613">
      <c r="D613" s="144"/>
    </row>
    <row r="614">
      <c r="D614" s="144"/>
    </row>
    <row r="615">
      <c r="D615" s="144"/>
    </row>
    <row r="616">
      <c r="D616" s="144"/>
    </row>
    <row r="617">
      <c r="D617" s="144"/>
    </row>
    <row r="618">
      <c r="D618" s="144"/>
    </row>
    <row r="619">
      <c r="D619" s="144"/>
    </row>
    <row r="620">
      <c r="D620" s="144"/>
    </row>
    <row r="621">
      <c r="D621" s="144"/>
    </row>
    <row r="622">
      <c r="D622" s="144"/>
    </row>
    <row r="623">
      <c r="D623" s="144"/>
    </row>
    <row r="624">
      <c r="D624" s="144"/>
    </row>
    <row r="625">
      <c r="D625" s="144"/>
    </row>
    <row r="626">
      <c r="D626" s="144"/>
    </row>
    <row r="627">
      <c r="D627" s="144"/>
    </row>
    <row r="628">
      <c r="D628" s="144"/>
    </row>
    <row r="629">
      <c r="D629" s="144"/>
    </row>
    <row r="630">
      <c r="D630" s="144"/>
    </row>
    <row r="631">
      <c r="D631" s="144"/>
    </row>
    <row r="632">
      <c r="D632" s="144"/>
    </row>
    <row r="633">
      <c r="D633" s="144"/>
    </row>
    <row r="634">
      <c r="D634" s="144"/>
    </row>
    <row r="635">
      <c r="D635" s="144"/>
    </row>
    <row r="636">
      <c r="D636" s="144"/>
    </row>
    <row r="637">
      <c r="D637" s="144"/>
    </row>
    <row r="638">
      <c r="D638" s="144"/>
    </row>
    <row r="639">
      <c r="D639" s="144"/>
    </row>
    <row r="640">
      <c r="D640" s="144"/>
    </row>
    <row r="641">
      <c r="D641" s="144"/>
    </row>
    <row r="642">
      <c r="D642" s="144"/>
    </row>
    <row r="643">
      <c r="D643" s="144"/>
    </row>
    <row r="644">
      <c r="D644" s="144"/>
    </row>
    <row r="645">
      <c r="D645" s="144"/>
    </row>
    <row r="646">
      <c r="D646" s="144"/>
    </row>
    <row r="647">
      <c r="D647" s="144"/>
    </row>
    <row r="648">
      <c r="D648" s="144"/>
    </row>
    <row r="649">
      <c r="D649" s="144"/>
    </row>
    <row r="650">
      <c r="D650" s="144"/>
    </row>
    <row r="651">
      <c r="D651" s="144"/>
    </row>
    <row r="652">
      <c r="D652" s="144"/>
    </row>
    <row r="653">
      <c r="D653" s="144"/>
    </row>
    <row r="654">
      <c r="D654" s="144"/>
    </row>
    <row r="655">
      <c r="D655" s="144"/>
    </row>
    <row r="656">
      <c r="D656" s="144"/>
    </row>
    <row r="657">
      <c r="D657" s="144"/>
    </row>
    <row r="658">
      <c r="D658" s="144"/>
    </row>
    <row r="659">
      <c r="D659" s="144"/>
    </row>
    <row r="660">
      <c r="D660" s="144"/>
    </row>
    <row r="661">
      <c r="D661" s="144"/>
    </row>
    <row r="662">
      <c r="D662" s="144"/>
    </row>
    <row r="663">
      <c r="D663" s="144"/>
    </row>
    <row r="664">
      <c r="D664" s="144"/>
    </row>
    <row r="665">
      <c r="D665" s="144"/>
    </row>
    <row r="666">
      <c r="D666" s="144"/>
    </row>
    <row r="667">
      <c r="D667" s="144"/>
    </row>
    <row r="668">
      <c r="D668" s="144"/>
    </row>
    <row r="669">
      <c r="D669" s="144"/>
    </row>
    <row r="670">
      <c r="D670" s="144"/>
    </row>
    <row r="671">
      <c r="D671" s="144"/>
    </row>
    <row r="672">
      <c r="D672" s="144"/>
    </row>
    <row r="673">
      <c r="D673" s="144"/>
    </row>
    <row r="674">
      <c r="D674" s="144"/>
    </row>
    <row r="675">
      <c r="D675" s="144"/>
    </row>
    <row r="676">
      <c r="D676" s="144"/>
    </row>
    <row r="677">
      <c r="D677" s="144"/>
    </row>
    <row r="678">
      <c r="D678" s="144"/>
    </row>
    <row r="679">
      <c r="D679" s="144"/>
    </row>
    <row r="680">
      <c r="D680" s="144"/>
    </row>
    <row r="681">
      <c r="D681" s="144"/>
    </row>
    <row r="682">
      <c r="D682" s="144"/>
    </row>
    <row r="683">
      <c r="D683" s="144"/>
    </row>
    <row r="684">
      <c r="D684" s="144"/>
    </row>
    <row r="685">
      <c r="D685" s="144"/>
    </row>
    <row r="686">
      <c r="D686" s="144"/>
    </row>
    <row r="687">
      <c r="D687" s="144"/>
    </row>
    <row r="688">
      <c r="D688" s="144"/>
    </row>
    <row r="689">
      <c r="D689" s="144"/>
    </row>
    <row r="690">
      <c r="D690" s="144"/>
    </row>
    <row r="691">
      <c r="D691" s="144"/>
    </row>
    <row r="692">
      <c r="D692" s="144"/>
    </row>
    <row r="693">
      <c r="D693" s="144"/>
    </row>
    <row r="694">
      <c r="D694" s="144"/>
    </row>
    <row r="695">
      <c r="D695" s="144"/>
    </row>
    <row r="696">
      <c r="D696" s="144"/>
    </row>
    <row r="697">
      <c r="D697" s="144"/>
    </row>
    <row r="698">
      <c r="D698" s="144"/>
    </row>
    <row r="699">
      <c r="D699" s="144"/>
    </row>
    <row r="700">
      <c r="D700" s="144"/>
    </row>
    <row r="701">
      <c r="D701" s="144"/>
    </row>
    <row r="702">
      <c r="D702" s="144"/>
    </row>
    <row r="703">
      <c r="D703" s="144"/>
    </row>
    <row r="704">
      <c r="D704" s="144"/>
    </row>
    <row r="705">
      <c r="D705" s="144"/>
    </row>
    <row r="706">
      <c r="D706" s="144"/>
    </row>
    <row r="707">
      <c r="D707" s="144"/>
    </row>
    <row r="708">
      <c r="D708" s="144"/>
    </row>
    <row r="709">
      <c r="D709" s="144"/>
    </row>
    <row r="710">
      <c r="D710" s="144"/>
    </row>
    <row r="711">
      <c r="D711" s="144"/>
    </row>
    <row r="712">
      <c r="D712" s="144"/>
    </row>
    <row r="713">
      <c r="D713" s="144"/>
    </row>
    <row r="714">
      <c r="D714" s="144"/>
    </row>
    <row r="715">
      <c r="D715" s="144"/>
    </row>
    <row r="716">
      <c r="D716" s="144"/>
    </row>
    <row r="717">
      <c r="D717" s="144"/>
    </row>
    <row r="718">
      <c r="D718" s="144"/>
    </row>
    <row r="719">
      <c r="D719" s="144"/>
    </row>
    <row r="720">
      <c r="D720" s="144"/>
    </row>
    <row r="721">
      <c r="D721" s="144"/>
    </row>
    <row r="722">
      <c r="D722" s="144"/>
    </row>
    <row r="723">
      <c r="D723" s="144"/>
    </row>
    <row r="724">
      <c r="D724" s="144"/>
    </row>
    <row r="725">
      <c r="D725" s="144"/>
    </row>
    <row r="726">
      <c r="D726" s="144"/>
    </row>
    <row r="727">
      <c r="D727" s="144"/>
    </row>
    <row r="728">
      <c r="D728" s="144"/>
    </row>
    <row r="729">
      <c r="D729" s="144"/>
    </row>
    <row r="730">
      <c r="D730" s="144"/>
    </row>
    <row r="731">
      <c r="D731" s="144"/>
    </row>
    <row r="732">
      <c r="D732" s="144"/>
    </row>
    <row r="733">
      <c r="D733" s="144"/>
    </row>
    <row r="734">
      <c r="D734" s="144"/>
    </row>
    <row r="735">
      <c r="D735" s="144"/>
    </row>
    <row r="736">
      <c r="D736" s="144"/>
    </row>
    <row r="737">
      <c r="D737" s="144"/>
    </row>
    <row r="738">
      <c r="D738" s="144"/>
    </row>
    <row r="739">
      <c r="D739" s="144"/>
    </row>
    <row r="740">
      <c r="D740" s="144"/>
    </row>
    <row r="741">
      <c r="D741" s="144"/>
    </row>
    <row r="742">
      <c r="D742" s="144"/>
    </row>
    <row r="743">
      <c r="D743" s="144"/>
    </row>
    <row r="744">
      <c r="D744" s="144"/>
    </row>
    <row r="745">
      <c r="D745" s="144"/>
    </row>
    <row r="746">
      <c r="D746" s="144"/>
    </row>
    <row r="747">
      <c r="D747" s="144"/>
    </row>
    <row r="748">
      <c r="D748" s="144"/>
    </row>
    <row r="749">
      <c r="D749" s="144"/>
    </row>
    <row r="750">
      <c r="D750" s="144"/>
    </row>
    <row r="751">
      <c r="D751" s="144"/>
    </row>
    <row r="752">
      <c r="D752" s="144"/>
    </row>
    <row r="753">
      <c r="D753" s="144"/>
    </row>
    <row r="754">
      <c r="D754" s="144"/>
    </row>
    <row r="755">
      <c r="D755" s="144"/>
    </row>
    <row r="756">
      <c r="D756" s="144"/>
    </row>
    <row r="757">
      <c r="D757" s="144"/>
    </row>
    <row r="758">
      <c r="D758" s="144"/>
    </row>
    <row r="759">
      <c r="D759" s="144"/>
    </row>
    <row r="760">
      <c r="D760" s="144"/>
    </row>
    <row r="761">
      <c r="D761" s="144"/>
    </row>
    <row r="762">
      <c r="D762" s="144"/>
    </row>
    <row r="763">
      <c r="D763" s="144"/>
    </row>
    <row r="764">
      <c r="D764" s="144"/>
    </row>
    <row r="765">
      <c r="D765" s="144"/>
    </row>
    <row r="766">
      <c r="D766" s="144"/>
    </row>
    <row r="767">
      <c r="D767" s="144"/>
    </row>
    <row r="768">
      <c r="D768" s="144"/>
    </row>
    <row r="769">
      <c r="D769" s="144"/>
    </row>
    <row r="770">
      <c r="D770" s="144"/>
    </row>
    <row r="771">
      <c r="D771" s="144"/>
    </row>
    <row r="772">
      <c r="D772" s="144"/>
    </row>
    <row r="773">
      <c r="D773" s="144"/>
    </row>
    <row r="774">
      <c r="D774" s="144"/>
    </row>
    <row r="775">
      <c r="D775" s="144"/>
    </row>
    <row r="776">
      <c r="D776" s="144"/>
    </row>
    <row r="777">
      <c r="D777" s="144"/>
    </row>
    <row r="778">
      <c r="D778" s="144"/>
    </row>
    <row r="779">
      <c r="D779" s="144"/>
    </row>
    <row r="780">
      <c r="D780" s="144"/>
    </row>
    <row r="781">
      <c r="D781" s="144"/>
    </row>
    <row r="782">
      <c r="D782" s="144"/>
    </row>
    <row r="783">
      <c r="D783" s="144"/>
    </row>
    <row r="784">
      <c r="D784" s="144"/>
    </row>
    <row r="785">
      <c r="D785" s="144"/>
    </row>
    <row r="786">
      <c r="D786" s="144"/>
    </row>
    <row r="787">
      <c r="D787" s="144"/>
    </row>
    <row r="788">
      <c r="D788" s="144"/>
    </row>
    <row r="789">
      <c r="D789" s="144"/>
    </row>
    <row r="790">
      <c r="D790" s="144"/>
    </row>
    <row r="791">
      <c r="D791" s="144"/>
    </row>
    <row r="792">
      <c r="D792" s="144"/>
    </row>
    <row r="793">
      <c r="D793" s="144"/>
    </row>
    <row r="794">
      <c r="D794" s="144"/>
    </row>
    <row r="795">
      <c r="D795" s="144"/>
    </row>
    <row r="796">
      <c r="D796" s="144"/>
    </row>
    <row r="797">
      <c r="D797" s="144"/>
    </row>
    <row r="798">
      <c r="D798" s="144"/>
    </row>
    <row r="799">
      <c r="D799" s="144"/>
    </row>
    <row r="800">
      <c r="D800" s="144"/>
    </row>
    <row r="801">
      <c r="D801" s="144"/>
    </row>
    <row r="802">
      <c r="D802" s="144"/>
    </row>
    <row r="803">
      <c r="D803" s="144"/>
    </row>
    <row r="804">
      <c r="D804" s="144"/>
    </row>
    <row r="805">
      <c r="D805" s="144"/>
    </row>
    <row r="806">
      <c r="D806" s="144"/>
    </row>
    <row r="807">
      <c r="D807" s="144"/>
    </row>
    <row r="808">
      <c r="D808" s="144"/>
    </row>
    <row r="809">
      <c r="D809" s="144"/>
    </row>
    <row r="810">
      <c r="D810" s="144"/>
    </row>
    <row r="811">
      <c r="D811" s="144"/>
    </row>
    <row r="812">
      <c r="D812" s="144"/>
    </row>
    <row r="813">
      <c r="D813" s="144"/>
    </row>
    <row r="814">
      <c r="D814" s="144"/>
    </row>
    <row r="815">
      <c r="D815" s="144"/>
    </row>
    <row r="816">
      <c r="D816" s="144"/>
    </row>
    <row r="817">
      <c r="D817" s="144"/>
    </row>
    <row r="818">
      <c r="D818" s="144"/>
    </row>
    <row r="819">
      <c r="D819" s="144"/>
    </row>
    <row r="820">
      <c r="D820" s="144"/>
    </row>
    <row r="821">
      <c r="D821" s="144"/>
    </row>
    <row r="822">
      <c r="D822" s="144"/>
    </row>
    <row r="823">
      <c r="D823" s="144"/>
    </row>
    <row r="824">
      <c r="D824" s="144"/>
    </row>
    <row r="825">
      <c r="D825" s="144"/>
    </row>
    <row r="826">
      <c r="D826" s="144"/>
    </row>
    <row r="827">
      <c r="D827" s="144"/>
    </row>
    <row r="828">
      <c r="D828" s="144"/>
    </row>
    <row r="829">
      <c r="D829" s="144"/>
    </row>
    <row r="830">
      <c r="D830" s="144"/>
    </row>
    <row r="831">
      <c r="D831" s="144"/>
    </row>
    <row r="832">
      <c r="D832" s="144"/>
    </row>
    <row r="833">
      <c r="D833" s="144"/>
    </row>
    <row r="834">
      <c r="D834" s="144"/>
    </row>
    <row r="835">
      <c r="D835" s="144"/>
    </row>
    <row r="836">
      <c r="D836" s="144"/>
    </row>
    <row r="837">
      <c r="D837" s="144"/>
    </row>
    <row r="838">
      <c r="D838" s="144"/>
    </row>
    <row r="839">
      <c r="D839" s="144"/>
    </row>
    <row r="840">
      <c r="D840" s="144"/>
    </row>
    <row r="841">
      <c r="D841" s="144"/>
    </row>
    <row r="842">
      <c r="D842" s="144"/>
    </row>
    <row r="843">
      <c r="D843" s="144"/>
    </row>
    <row r="844">
      <c r="D844" s="144"/>
    </row>
    <row r="845">
      <c r="D845" s="144"/>
    </row>
    <row r="846">
      <c r="D846" s="144"/>
    </row>
    <row r="847">
      <c r="D847" s="144"/>
    </row>
    <row r="848">
      <c r="D848" s="144"/>
    </row>
    <row r="849">
      <c r="D849" s="144"/>
    </row>
    <row r="850">
      <c r="D850" s="144"/>
    </row>
    <row r="851">
      <c r="D851" s="144"/>
    </row>
    <row r="852">
      <c r="D852" s="144"/>
    </row>
    <row r="853">
      <c r="D853" s="144"/>
    </row>
    <row r="854">
      <c r="D854" s="144"/>
    </row>
    <row r="855">
      <c r="D855" s="144"/>
    </row>
    <row r="856">
      <c r="D856" s="144"/>
    </row>
    <row r="857">
      <c r="D857" s="144"/>
    </row>
    <row r="858">
      <c r="D858" s="144"/>
    </row>
    <row r="859">
      <c r="D859" s="144"/>
    </row>
    <row r="860">
      <c r="D860" s="144"/>
    </row>
    <row r="861">
      <c r="D861" s="144"/>
    </row>
    <row r="862">
      <c r="D862" s="144"/>
    </row>
    <row r="863">
      <c r="D863" s="144"/>
    </row>
    <row r="864">
      <c r="D864" s="144"/>
    </row>
    <row r="865">
      <c r="D865" s="144"/>
    </row>
    <row r="866">
      <c r="D866" s="144"/>
    </row>
    <row r="867">
      <c r="D867" s="144"/>
    </row>
    <row r="868">
      <c r="D868" s="144"/>
    </row>
    <row r="869">
      <c r="D869" s="144"/>
    </row>
    <row r="870">
      <c r="D870" s="144"/>
    </row>
    <row r="871">
      <c r="D871" s="144"/>
    </row>
    <row r="872">
      <c r="D872" s="144"/>
    </row>
    <row r="873">
      <c r="D873" s="144"/>
    </row>
    <row r="874">
      <c r="D874" s="144"/>
    </row>
    <row r="875">
      <c r="D875" s="144"/>
    </row>
    <row r="876">
      <c r="D876" s="144"/>
    </row>
    <row r="877">
      <c r="D877" s="144"/>
    </row>
    <row r="878">
      <c r="D878" s="144"/>
    </row>
    <row r="879">
      <c r="D879" s="144"/>
    </row>
    <row r="880">
      <c r="D880" s="144"/>
    </row>
    <row r="881">
      <c r="D881" s="144"/>
    </row>
    <row r="882">
      <c r="D882" s="144"/>
    </row>
    <row r="883">
      <c r="D883" s="144"/>
    </row>
    <row r="884">
      <c r="D884" s="144"/>
    </row>
    <row r="885">
      <c r="D885" s="144"/>
    </row>
    <row r="886">
      <c r="D886" s="144"/>
    </row>
    <row r="887">
      <c r="D887" s="144"/>
    </row>
    <row r="888">
      <c r="D888" s="144"/>
    </row>
    <row r="889">
      <c r="D889" s="144"/>
    </row>
    <row r="890">
      <c r="D890" s="144"/>
    </row>
    <row r="891">
      <c r="D891" s="144"/>
    </row>
    <row r="892">
      <c r="D892" s="144"/>
    </row>
    <row r="893">
      <c r="D893" s="144"/>
    </row>
    <row r="894">
      <c r="D894" s="144"/>
    </row>
    <row r="895">
      <c r="D895" s="144"/>
    </row>
    <row r="896">
      <c r="D896" s="144"/>
    </row>
    <row r="897">
      <c r="D897" s="144"/>
    </row>
    <row r="898">
      <c r="D898" s="144"/>
    </row>
    <row r="899">
      <c r="D899" s="144"/>
    </row>
    <row r="900">
      <c r="D900" s="144"/>
    </row>
    <row r="901">
      <c r="D901" s="144"/>
    </row>
    <row r="902">
      <c r="D902" s="144"/>
    </row>
    <row r="903">
      <c r="D903" s="144"/>
    </row>
    <row r="904">
      <c r="D904" s="144"/>
    </row>
    <row r="905">
      <c r="D905" s="144"/>
    </row>
    <row r="906">
      <c r="D906" s="144"/>
    </row>
    <row r="907">
      <c r="D907" s="144"/>
    </row>
    <row r="908">
      <c r="D908" s="144"/>
    </row>
    <row r="909">
      <c r="D909" s="144"/>
    </row>
    <row r="910">
      <c r="D910" s="144"/>
    </row>
    <row r="911">
      <c r="D911" s="144"/>
    </row>
    <row r="912">
      <c r="D912" s="144"/>
    </row>
    <row r="913">
      <c r="D913" s="144"/>
    </row>
    <row r="914">
      <c r="D914" s="144"/>
    </row>
    <row r="915">
      <c r="D915" s="144"/>
    </row>
    <row r="916">
      <c r="D916" s="144"/>
    </row>
    <row r="917">
      <c r="D917" s="144"/>
    </row>
    <row r="918">
      <c r="D918" s="144"/>
    </row>
    <row r="919">
      <c r="D919" s="144"/>
    </row>
    <row r="920">
      <c r="D920" s="144"/>
    </row>
    <row r="921">
      <c r="D921" s="144"/>
    </row>
    <row r="922">
      <c r="D922" s="144"/>
    </row>
    <row r="923">
      <c r="D923" s="144"/>
    </row>
    <row r="924">
      <c r="D924" s="144"/>
    </row>
    <row r="925">
      <c r="D925" s="144"/>
    </row>
    <row r="926">
      <c r="D926" s="144"/>
    </row>
    <row r="927">
      <c r="D927" s="144"/>
    </row>
    <row r="928">
      <c r="D928" s="144"/>
    </row>
    <row r="929">
      <c r="D929" s="144"/>
    </row>
    <row r="930">
      <c r="D930" s="144"/>
    </row>
    <row r="931">
      <c r="D931" s="144"/>
    </row>
    <row r="932">
      <c r="D932" s="144"/>
    </row>
    <row r="933">
      <c r="D933" s="144"/>
    </row>
    <row r="934">
      <c r="D934" s="144"/>
    </row>
    <row r="935">
      <c r="D935" s="144"/>
    </row>
    <row r="936">
      <c r="D936" s="144"/>
    </row>
    <row r="937">
      <c r="D937" s="144"/>
    </row>
    <row r="938">
      <c r="D938" s="144"/>
    </row>
    <row r="939">
      <c r="D939" s="144"/>
    </row>
    <row r="940">
      <c r="D940" s="144"/>
    </row>
    <row r="941">
      <c r="D941" s="144"/>
    </row>
    <row r="942">
      <c r="D942" s="144"/>
    </row>
    <row r="943">
      <c r="D943" s="144"/>
    </row>
    <row r="944">
      <c r="D944" s="144"/>
    </row>
    <row r="945">
      <c r="D945" s="144"/>
    </row>
    <row r="946">
      <c r="D946" s="144"/>
    </row>
    <row r="947">
      <c r="D947" s="144"/>
    </row>
    <row r="948">
      <c r="D948" s="144"/>
    </row>
    <row r="949">
      <c r="D949" s="144"/>
    </row>
    <row r="950">
      <c r="D950" s="144"/>
    </row>
    <row r="951">
      <c r="D951" s="144"/>
    </row>
    <row r="952">
      <c r="D952" s="144"/>
    </row>
    <row r="953">
      <c r="D953" s="144"/>
    </row>
    <row r="954">
      <c r="D954" s="144"/>
    </row>
    <row r="955">
      <c r="D955" s="144"/>
    </row>
    <row r="956">
      <c r="D956" s="144"/>
    </row>
    <row r="957">
      <c r="D957" s="144"/>
    </row>
    <row r="958">
      <c r="D958" s="144"/>
    </row>
    <row r="959">
      <c r="D959" s="144"/>
    </row>
    <row r="960">
      <c r="D960" s="144"/>
    </row>
    <row r="961">
      <c r="D961" s="144"/>
    </row>
    <row r="962">
      <c r="D962" s="144"/>
    </row>
    <row r="963">
      <c r="D963" s="144"/>
    </row>
    <row r="964">
      <c r="D964" s="144"/>
    </row>
    <row r="965">
      <c r="D965" s="144"/>
    </row>
    <row r="966">
      <c r="D966" s="144"/>
    </row>
    <row r="967">
      <c r="D967" s="144"/>
    </row>
    <row r="968">
      <c r="D968" s="144"/>
    </row>
    <row r="969">
      <c r="D969" s="144"/>
    </row>
    <row r="970">
      <c r="D970" s="144"/>
    </row>
    <row r="971">
      <c r="D971" s="144"/>
    </row>
    <row r="972">
      <c r="D972" s="144"/>
    </row>
    <row r="973">
      <c r="D973" s="144"/>
    </row>
    <row r="974">
      <c r="D974" s="144"/>
    </row>
    <row r="975">
      <c r="D975" s="144"/>
    </row>
    <row r="976">
      <c r="D976" s="144"/>
    </row>
    <row r="977">
      <c r="D977" s="144"/>
    </row>
    <row r="978">
      <c r="D978" s="144"/>
    </row>
    <row r="979">
      <c r="D979" s="144"/>
    </row>
    <row r="980">
      <c r="D980" s="144"/>
    </row>
    <row r="981">
      <c r="D981" s="144"/>
    </row>
    <row r="982">
      <c r="D982" s="144"/>
    </row>
    <row r="983">
      <c r="D983" s="144"/>
    </row>
    <row r="984">
      <c r="D984" s="144"/>
    </row>
    <row r="985">
      <c r="D985" s="144"/>
    </row>
    <row r="986">
      <c r="D986" s="144"/>
    </row>
    <row r="987">
      <c r="D987" s="144"/>
    </row>
    <row r="988">
      <c r="D988" s="144"/>
    </row>
    <row r="989">
      <c r="D989" s="144"/>
    </row>
    <row r="990">
      <c r="D990" s="144"/>
    </row>
    <row r="991">
      <c r="D991" s="144"/>
    </row>
    <row r="992">
      <c r="D992" s="144"/>
    </row>
    <row r="993">
      <c r="D993" s="144"/>
    </row>
    <row r="994">
      <c r="D994" s="144"/>
    </row>
    <row r="995">
      <c r="D995" s="144"/>
    </row>
    <row r="996">
      <c r="D996" s="144"/>
    </row>
    <row r="997">
      <c r="D997" s="144"/>
    </row>
    <row r="998">
      <c r="D998" s="144"/>
    </row>
    <row r="999">
      <c r="D999" s="144"/>
    </row>
    <row r="1000">
      <c r="D1000" s="144"/>
    </row>
  </sheetData>
  <mergeCells count="1">
    <mergeCell ref="D64:D68"/>
  </mergeCells>
  <dataValidations>
    <dataValidation type="list" allowBlank="1" showErrorMessage="1" sqref="S1:S79">
      <formula1>"Released,Ongoing,Pending"</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3" max="3" width="18.75"/>
    <col customWidth="1" min="4" max="4" width="24.88"/>
    <col customWidth="1" min="5" max="5" width="44.0"/>
    <col customWidth="1" min="6" max="6" width="14.25"/>
    <col customWidth="1" min="7" max="7" width="53.0"/>
    <col customWidth="1" min="8" max="8" width="62.88"/>
    <col customWidth="1" min="9" max="9" width="22.63"/>
    <col customWidth="1" min="10" max="10" width="15.25"/>
    <col customWidth="1" min="12" max="12" width="17.0"/>
    <col customWidth="1" min="13" max="13" width="16.13"/>
    <col customWidth="1" min="14" max="14" width="13.38"/>
    <col customWidth="1" min="15" max="15" width="16.63"/>
    <col customWidth="1" min="16" max="16" width="24.75"/>
    <col customWidth="1" min="17" max="17" width="18.63"/>
    <col customWidth="1" min="18" max="18" width="21.38"/>
  </cols>
  <sheetData>
    <row r="1">
      <c r="A1" s="145" t="s">
        <v>1025</v>
      </c>
      <c r="B1" s="2" t="s">
        <v>1</v>
      </c>
      <c r="C1" s="2" t="s">
        <v>2</v>
      </c>
      <c r="D1" s="146" t="s">
        <v>3</v>
      </c>
      <c r="E1" s="2" t="s">
        <v>4</v>
      </c>
      <c r="F1" s="17" t="s">
        <v>336</v>
      </c>
      <c r="G1" s="2" t="s">
        <v>5</v>
      </c>
      <c r="H1" s="17" t="s">
        <v>838</v>
      </c>
      <c r="I1" s="17" t="s">
        <v>34</v>
      </c>
      <c r="J1" s="2" t="s">
        <v>7</v>
      </c>
      <c r="K1" s="2" t="s">
        <v>35</v>
      </c>
      <c r="L1" s="37" t="s">
        <v>9</v>
      </c>
      <c r="M1" s="17" t="s">
        <v>1026</v>
      </c>
      <c r="N1" s="37" t="s">
        <v>246</v>
      </c>
      <c r="O1" s="17" t="s">
        <v>337</v>
      </c>
      <c r="P1" s="2" t="s">
        <v>12</v>
      </c>
      <c r="Q1" s="17" t="s">
        <v>338</v>
      </c>
      <c r="R1" s="2" t="s">
        <v>270</v>
      </c>
      <c r="S1" s="147" t="s">
        <v>15</v>
      </c>
    </row>
    <row r="2">
      <c r="A2" s="38">
        <f t="shared" ref="A2:A89" si="1">row(A2)-1</f>
        <v>1</v>
      </c>
      <c r="B2" s="115" t="s">
        <v>1027</v>
      </c>
      <c r="C2" s="115">
        <v>6.32504932E8</v>
      </c>
      <c r="D2" s="148" t="s">
        <v>987</v>
      </c>
      <c r="E2" s="115" t="s">
        <v>1028</v>
      </c>
      <c r="F2" s="115"/>
      <c r="G2" s="115" t="s">
        <v>18</v>
      </c>
      <c r="H2" s="115" t="s">
        <v>264</v>
      </c>
      <c r="I2" s="115"/>
      <c r="J2" s="115" t="s">
        <v>1024</v>
      </c>
      <c r="L2" s="149">
        <v>46057.0</v>
      </c>
      <c r="M2" s="35">
        <f t="shared" ref="M2:M89" si="2">L2+11</f>
        <v>46068</v>
      </c>
      <c r="N2" s="31">
        <f t="shared" ref="N2:N89" si="3">L2+19</f>
        <v>46076</v>
      </c>
      <c r="O2" s="60">
        <v>46069.0</v>
      </c>
      <c r="P2" s="40">
        <v>46093.0</v>
      </c>
      <c r="S2" s="21" t="s">
        <v>23</v>
      </c>
    </row>
    <row r="3">
      <c r="A3" s="38">
        <f t="shared" si="1"/>
        <v>2</v>
      </c>
      <c r="B3" s="115" t="s">
        <v>1029</v>
      </c>
      <c r="C3" s="115">
        <v>6.32504946E8</v>
      </c>
      <c r="D3" s="148" t="s">
        <v>987</v>
      </c>
      <c r="E3" s="115" t="s">
        <v>1030</v>
      </c>
      <c r="F3" s="115"/>
      <c r="G3" s="115" t="s">
        <v>18</v>
      </c>
      <c r="H3" s="115" t="s">
        <v>264</v>
      </c>
      <c r="I3" s="115"/>
      <c r="J3" s="115" t="s">
        <v>1024</v>
      </c>
      <c r="L3" s="149">
        <v>46057.0</v>
      </c>
      <c r="M3" s="35">
        <f t="shared" si="2"/>
        <v>46068</v>
      </c>
      <c r="N3" s="31">
        <f t="shared" si="3"/>
        <v>46076</v>
      </c>
      <c r="O3" s="60">
        <v>46069.0</v>
      </c>
      <c r="P3" s="40">
        <v>46077.0</v>
      </c>
      <c r="S3" s="21" t="s">
        <v>23</v>
      </c>
    </row>
    <row r="4">
      <c r="A4" s="38">
        <f t="shared" si="1"/>
        <v>3</v>
      </c>
      <c r="B4" s="115" t="s">
        <v>1031</v>
      </c>
      <c r="C4" s="115">
        <v>6.32504933E8</v>
      </c>
      <c r="D4" s="148" t="s">
        <v>987</v>
      </c>
      <c r="E4" s="115" t="s">
        <v>1032</v>
      </c>
      <c r="F4" s="115"/>
      <c r="G4" s="115" t="s">
        <v>18</v>
      </c>
      <c r="H4" s="115" t="s">
        <v>264</v>
      </c>
      <c r="I4" s="115"/>
      <c r="J4" s="115" t="s">
        <v>1024</v>
      </c>
      <c r="L4" s="149">
        <v>46057.0</v>
      </c>
      <c r="M4" s="35">
        <f t="shared" si="2"/>
        <v>46068</v>
      </c>
      <c r="N4" s="31">
        <f t="shared" si="3"/>
        <v>46076</v>
      </c>
      <c r="O4" s="60">
        <v>46069.0</v>
      </c>
      <c r="P4" s="40">
        <v>46083.0</v>
      </c>
      <c r="S4" s="21" t="s">
        <v>23</v>
      </c>
    </row>
    <row r="5">
      <c r="A5" s="38">
        <f t="shared" si="1"/>
        <v>4</v>
      </c>
      <c r="B5" s="115" t="s">
        <v>1033</v>
      </c>
      <c r="C5" s="115">
        <v>6.32504943E8</v>
      </c>
      <c r="D5" s="148" t="s">
        <v>987</v>
      </c>
      <c r="E5" s="115" t="s">
        <v>1034</v>
      </c>
      <c r="F5" s="115"/>
      <c r="G5" s="115" t="s">
        <v>18</v>
      </c>
      <c r="H5" s="115" t="s">
        <v>40</v>
      </c>
      <c r="I5" s="7" t="s">
        <v>126</v>
      </c>
      <c r="J5" s="115" t="s">
        <v>368</v>
      </c>
      <c r="L5" s="149">
        <v>46057.0</v>
      </c>
      <c r="M5" s="35">
        <f t="shared" si="2"/>
        <v>46068</v>
      </c>
      <c r="N5" s="31">
        <f t="shared" si="3"/>
        <v>46076</v>
      </c>
      <c r="O5" s="60">
        <v>46069.0</v>
      </c>
      <c r="P5" s="40">
        <v>46081.0</v>
      </c>
      <c r="S5" s="21" t="s">
        <v>23</v>
      </c>
    </row>
    <row r="6">
      <c r="A6" s="38">
        <f t="shared" si="1"/>
        <v>5</v>
      </c>
      <c r="B6" s="115" t="s">
        <v>1035</v>
      </c>
      <c r="C6" s="115">
        <v>6.32504945E8</v>
      </c>
      <c r="D6" s="148" t="s">
        <v>987</v>
      </c>
      <c r="E6" s="115" t="s">
        <v>1036</v>
      </c>
      <c r="F6" s="115"/>
      <c r="G6" s="115" t="s">
        <v>18</v>
      </c>
      <c r="H6" s="115" t="s">
        <v>40</v>
      </c>
      <c r="I6" s="7" t="s">
        <v>126</v>
      </c>
      <c r="J6" s="115" t="s">
        <v>368</v>
      </c>
      <c r="L6" s="149">
        <v>46057.0</v>
      </c>
      <c r="M6" s="35">
        <f t="shared" si="2"/>
        <v>46068</v>
      </c>
      <c r="N6" s="31">
        <f t="shared" si="3"/>
        <v>46076</v>
      </c>
      <c r="O6" s="60">
        <v>46069.0</v>
      </c>
      <c r="P6" s="40">
        <v>46081.0</v>
      </c>
      <c r="S6" s="21" t="s">
        <v>23</v>
      </c>
    </row>
    <row r="7">
      <c r="A7" s="38">
        <f t="shared" si="1"/>
        <v>6</v>
      </c>
      <c r="B7" s="115" t="s">
        <v>1037</v>
      </c>
      <c r="C7" s="115">
        <v>6.32504944E8</v>
      </c>
      <c r="D7" s="148" t="s">
        <v>987</v>
      </c>
      <c r="E7" s="115" t="s">
        <v>1038</v>
      </c>
      <c r="F7" s="115"/>
      <c r="G7" s="115" t="s">
        <v>18</v>
      </c>
      <c r="H7" s="115" t="s">
        <v>40</v>
      </c>
      <c r="I7" s="7" t="s">
        <v>126</v>
      </c>
      <c r="J7" s="115" t="s">
        <v>368</v>
      </c>
      <c r="L7" s="149">
        <v>46057.0</v>
      </c>
      <c r="M7" s="35">
        <f t="shared" si="2"/>
        <v>46068</v>
      </c>
      <c r="N7" s="31">
        <f t="shared" si="3"/>
        <v>46076</v>
      </c>
      <c r="O7" s="60">
        <v>46069.0</v>
      </c>
      <c r="P7" s="40">
        <v>46081.0</v>
      </c>
      <c r="S7" s="21" t="s">
        <v>23</v>
      </c>
    </row>
    <row r="8">
      <c r="A8" s="38">
        <f t="shared" si="1"/>
        <v>7</v>
      </c>
      <c r="B8" s="115" t="s">
        <v>1039</v>
      </c>
      <c r="C8" s="118">
        <v>6.32505021E8</v>
      </c>
      <c r="D8" s="150"/>
      <c r="E8" s="115" t="s">
        <v>1040</v>
      </c>
      <c r="G8" s="115" t="s">
        <v>18</v>
      </c>
      <c r="H8" s="115" t="s">
        <v>40</v>
      </c>
      <c r="I8" s="7" t="s">
        <v>126</v>
      </c>
      <c r="J8" s="115" t="s">
        <v>368</v>
      </c>
      <c r="L8" s="149">
        <v>46062.0</v>
      </c>
      <c r="M8" s="35">
        <f t="shared" si="2"/>
        <v>46073</v>
      </c>
      <c r="N8" s="31">
        <f t="shared" si="3"/>
        <v>46081</v>
      </c>
      <c r="O8" s="40">
        <v>46074.0</v>
      </c>
      <c r="P8" s="40">
        <v>46081.0</v>
      </c>
      <c r="S8" s="21" t="s">
        <v>23</v>
      </c>
    </row>
    <row r="9">
      <c r="A9" s="38">
        <f t="shared" si="1"/>
        <v>8</v>
      </c>
      <c r="B9" s="115" t="s">
        <v>1041</v>
      </c>
      <c r="C9" s="118">
        <v>6.32505022E8</v>
      </c>
      <c r="D9" s="150"/>
      <c r="E9" s="115" t="s">
        <v>1042</v>
      </c>
      <c r="G9" s="115" t="s">
        <v>18</v>
      </c>
      <c r="H9" s="115" t="s">
        <v>40</v>
      </c>
      <c r="I9" s="7" t="s">
        <v>126</v>
      </c>
      <c r="J9" s="115" t="s">
        <v>368</v>
      </c>
      <c r="L9" s="149">
        <v>46059.0</v>
      </c>
      <c r="M9" s="35">
        <f t="shared" si="2"/>
        <v>46070</v>
      </c>
      <c r="N9" s="31">
        <f t="shared" si="3"/>
        <v>46078</v>
      </c>
      <c r="O9" s="40">
        <v>46074.0</v>
      </c>
      <c r="P9" s="40">
        <v>46081.0</v>
      </c>
      <c r="S9" s="21" t="s">
        <v>23</v>
      </c>
    </row>
    <row r="10">
      <c r="A10" s="38">
        <f t="shared" si="1"/>
        <v>9</v>
      </c>
      <c r="B10" s="115" t="s">
        <v>1043</v>
      </c>
      <c r="C10" s="118">
        <v>6.3250504E8</v>
      </c>
      <c r="D10" s="148" t="s">
        <v>879</v>
      </c>
      <c r="E10" s="115" t="s">
        <v>1044</v>
      </c>
      <c r="G10" s="115" t="s">
        <v>18</v>
      </c>
      <c r="H10" s="115" t="s">
        <v>40</v>
      </c>
      <c r="I10" s="7" t="s">
        <v>126</v>
      </c>
      <c r="J10" s="115" t="s">
        <v>368</v>
      </c>
      <c r="L10" s="149">
        <v>46063.0</v>
      </c>
      <c r="M10" s="35">
        <f t="shared" si="2"/>
        <v>46074</v>
      </c>
      <c r="N10" s="31">
        <f t="shared" si="3"/>
        <v>46082</v>
      </c>
      <c r="O10" s="40">
        <v>46074.0</v>
      </c>
      <c r="P10" s="40">
        <v>46083.0</v>
      </c>
      <c r="S10" s="21" t="s">
        <v>23</v>
      </c>
    </row>
    <row r="11">
      <c r="A11" s="38">
        <f t="shared" si="1"/>
        <v>10</v>
      </c>
      <c r="B11" s="115" t="s">
        <v>1045</v>
      </c>
      <c r="C11" s="118">
        <v>6.32505041E8</v>
      </c>
      <c r="D11" s="148" t="s">
        <v>879</v>
      </c>
      <c r="E11" s="115" t="s">
        <v>1046</v>
      </c>
      <c r="G11" s="115" t="s">
        <v>18</v>
      </c>
      <c r="H11" s="115" t="s">
        <v>40</v>
      </c>
      <c r="I11" s="7" t="s">
        <v>126</v>
      </c>
      <c r="J11" s="115" t="s">
        <v>368</v>
      </c>
      <c r="L11" s="149">
        <v>46063.0</v>
      </c>
      <c r="M11" s="35">
        <f t="shared" si="2"/>
        <v>46074</v>
      </c>
      <c r="N11" s="31">
        <f t="shared" si="3"/>
        <v>46082</v>
      </c>
      <c r="O11" s="40">
        <v>46074.0</v>
      </c>
      <c r="P11" s="40">
        <v>46083.0</v>
      </c>
      <c r="S11" s="21" t="s">
        <v>23</v>
      </c>
    </row>
    <row r="12">
      <c r="A12" s="38">
        <f t="shared" si="1"/>
        <v>11</v>
      </c>
      <c r="B12" s="115" t="s">
        <v>1047</v>
      </c>
      <c r="C12" s="118">
        <v>6.32505042E8</v>
      </c>
      <c r="D12" s="148" t="s">
        <v>879</v>
      </c>
      <c r="E12" s="115" t="s">
        <v>1048</v>
      </c>
      <c r="G12" s="115" t="s">
        <v>18</v>
      </c>
      <c r="H12" s="115" t="s">
        <v>40</v>
      </c>
      <c r="I12" s="7" t="s">
        <v>126</v>
      </c>
      <c r="J12" s="115" t="s">
        <v>368</v>
      </c>
      <c r="L12" s="149">
        <v>46063.0</v>
      </c>
      <c r="M12" s="35">
        <f t="shared" si="2"/>
        <v>46074</v>
      </c>
      <c r="N12" s="31">
        <f t="shared" si="3"/>
        <v>46082</v>
      </c>
      <c r="O12" s="40">
        <v>46074.0</v>
      </c>
      <c r="P12" s="40">
        <v>46083.0</v>
      </c>
      <c r="S12" s="21" t="s">
        <v>23</v>
      </c>
    </row>
    <row r="13">
      <c r="A13" s="38">
        <f t="shared" si="1"/>
        <v>12</v>
      </c>
      <c r="B13" s="104"/>
      <c r="C13" s="104"/>
      <c r="D13" s="148" t="s">
        <v>1049</v>
      </c>
      <c r="E13" s="115" t="s">
        <v>1050</v>
      </c>
      <c r="G13" s="115" t="s">
        <v>18</v>
      </c>
      <c r="H13" s="115" t="s">
        <v>40</v>
      </c>
      <c r="I13" s="7" t="s">
        <v>126</v>
      </c>
      <c r="J13" s="115" t="s">
        <v>368</v>
      </c>
      <c r="L13" s="149">
        <v>46063.0</v>
      </c>
      <c r="M13" s="35">
        <f t="shared" si="2"/>
        <v>46074</v>
      </c>
      <c r="N13" s="31">
        <f t="shared" si="3"/>
        <v>46082</v>
      </c>
      <c r="O13" s="40">
        <v>46074.0</v>
      </c>
      <c r="P13" s="40">
        <v>46083.0</v>
      </c>
      <c r="S13" s="21" t="s">
        <v>23</v>
      </c>
    </row>
    <row r="14" ht="23.25" customHeight="1">
      <c r="A14" s="38">
        <f t="shared" si="1"/>
        <v>13</v>
      </c>
      <c r="B14" s="104"/>
      <c r="C14" s="104"/>
      <c r="D14" s="148" t="s">
        <v>1049</v>
      </c>
      <c r="E14" s="115" t="s">
        <v>1051</v>
      </c>
      <c r="G14" s="115" t="s">
        <v>18</v>
      </c>
      <c r="H14" s="151" t="s">
        <v>626</v>
      </c>
      <c r="L14" s="149">
        <v>46063.0</v>
      </c>
      <c r="M14" s="35">
        <f t="shared" si="2"/>
        <v>46074</v>
      </c>
      <c r="N14" s="31">
        <f t="shared" si="3"/>
        <v>46082</v>
      </c>
      <c r="O14" s="40">
        <v>46088.0</v>
      </c>
      <c r="S14" s="38"/>
    </row>
    <row r="15">
      <c r="A15" s="38">
        <f t="shared" si="1"/>
        <v>14</v>
      </c>
      <c r="B15" s="104"/>
      <c r="C15" s="104"/>
      <c r="D15" s="148" t="s">
        <v>1049</v>
      </c>
      <c r="E15" s="115" t="s">
        <v>1052</v>
      </c>
      <c r="G15" s="115" t="s">
        <v>18</v>
      </c>
      <c r="H15" s="151" t="s">
        <v>626</v>
      </c>
      <c r="L15" s="149">
        <v>46063.0</v>
      </c>
      <c r="M15" s="35">
        <f t="shared" si="2"/>
        <v>46074</v>
      </c>
      <c r="N15" s="31">
        <f t="shared" si="3"/>
        <v>46082</v>
      </c>
      <c r="O15" s="40">
        <v>46088.0</v>
      </c>
      <c r="S15" s="38"/>
    </row>
    <row r="16">
      <c r="A16" s="38">
        <f t="shared" si="1"/>
        <v>15</v>
      </c>
      <c r="B16" s="104"/>
      <c r="C16" s="104"/>
      <c r="D16" s="148" t="s">
        <v>1049</v>
      </c>
      <c r="E16" s="115" t="s">
        <v>1053</v>
      </c>
      <c r="G16" s="115" t="s">
        <v>18</v>
      </c>
      <c r="H16" s="151" t="s">
        <v>626</v>
      </c>
      <c r="L16" s="149">
        <v>46063.0</v>
      </c>
      <c r="M16" s="35">
        <f t="shared" si="2"/>
        <v>46074</v>
      </c>
      <c r="N16" s="31">
        <f t="shared" si="3"/>
        <v>46082</v>
      </c>
      <c r="O16" s="40">
        <v>46088.0</v>
      </c>
      <c r="S16" s="38"/>
    </row>
    <row r="17">
      <c r="A17" s="38">
        <f t="shared" si="1"/>
        <v>16</v>
      </c>
      <c r="B17" s="104"/>
      <c r="C17" s="104"/>
      <c r="D17" s="148" t="s">
        <v>1054</v>
      </c>
      <c r="E17" s="115" t="s">
        <v>1055</v>
      </c>
      <c r="G17" s="115" t="s">
        <v>18</v>
      </c>
      <c r="H17" s="151" t="s">
        <v>626</v>
      </c>
      <c r="L17" s="149">
        <v>46063.0</v>
      </c>
      <c r="M17" s="35">
        <f t="shared" si="2"/>
        <v>46074</v>
      </c>
      <c r="N17" s="31">
        <f t="shared" si="3"/>
        <v>46082</v>
      </c>
      <c r="O17" s="40">
        <v>46088.0</v>
      </c>
      <c r="S17" s="38"/>
    </row>
    <row r="18">
      <c r="A18" s="38">
        <f t="shared" si="1"/>
        <v>17</v>
      </c>
      <c r="B18" s="104"/>
      <c r="C18" s="104"/>
      <c r="D18" s="148" t="s">
        <v>1049</v>
      </c>
      <c r="E18" s="115" t="s">
        <v>1056</v>
      </c>
      <c r="G18" s="115" t="s">
        <v>18</v>
      </c>
      <c r="H18" s="151" t="s">
        <v>626</v>
      </c>
      <c r="L18" s="149">
        <v>46063.0</v>
      </c>
      <c r="M18" s="35">
        <f t="shared" si="2"/>
        <v>46074</v>
      </c>
      <c r="N18" s="31">
        <f t="shared" si="3"/>
        <v>46082</v>
      </c>
      <c r="O18" s="40">
        <v>46088.0</v>
      </c>
      <c r="S18" s="38"/>
    </row>
    <row r="19">
      <c r="A19" s="38">
        <f t="shared" si="1"/>
        <v>18</v>
      </c>
      <c r="B19" s="104"/>
      <c r="C19" s="104"/>
      <c r="D19" s="148" t="s">
        <v>1049</v>
      </c>
      <c r="E19" s="115" t="s">
        <v>1057</v>
      </c>
      <c r="G19" s="115" t="s">
        <v>18</v>
      </c>
      <c r="H19" s="151" t="s">
        <v>626</v>
      </c>
      <c r="L19" s="149">
        <v>46063.0</v>
      </c>
      <c r="M19" s="35">
        <f t="shared" si="2"/>
        <v>46074</v>
      </c>
      <c r="N19" s="31">
        <f t="shared" si="3"/>
        <v>46082</v>
      </c>
      <c r="O19" s="40">
        <v>46088.0</v>
      </c>
      <c r="S19" s="38"/>
    </row>
    <row r="20">
      <c r="A20" s="38">
        <f t="shared" si="1"/>
        <v>19</v>
      </c>
      <c r="B20" s="104"/>
      <c r="C20" s="104"/>
      <c r="D20" s="148" t="s">
        <v>1049</v>
      </c>
      <c r="E20" s="115" t="s">
        <v>1058</v>
      </c>
      <c r="G20" s="115" t="s">
        <v>18</v>
      </c>
      <c r="H20" s="151" t="s">
        <v>626</v>
      </c>
      <c r="L20" s="149">
        <v>46063.0</v>
      </c>
      <c r="M20" s="35">
        <f t="shared" si="2"/>
        <v>46074</v>
      </c>
      <c r="N20" s="31">
        <f t="shared" si="3"/>
        <v>46082</v>
      </c>
      <c r="O20" s="40">
        <v>46088.0</v>
      </c>
      <c r="S20" s="38"/>
    </row>
    <row r="21">
      <c r="A21" s="38">
        <f t="shared" si="1"/>
        <v>20</v>
      </c>
      <c r="B21" s="104"/>
      <c r="C21" s="104"/>
      <c r="D21" s="148" t="s">
        <v>1049</v>
      </c>
      <c r="E21" s="115" t="s">
        <v>1059</v>
      </c>
      <c r="G21" s="115" t="s">
        <v>18</v>
      </c>
      <c r="H21" s="151" t="s">
        <v>626</v>
      </c>
      <c r="L21" s="149">
        <v>46063.0</v>
      </c>
      <c r="M21" s="35">
        <f t="shared" si="2"/>
        <v>46074</v>
      </c>
      <c r="N21" s="31">
        <f t="shared" si="3"/>
        <v>46082</v>
      </c>
      <c r="O21" s="40">
        <v>46088.0</v>
      </c>
      <c r="S21" s="38"/>
    </row>
    <row r="22">
      <c r="A22" s="38">
        <f t="shared" si="1"/>
        <v>21</v>
      </c>
      <c r="B22" s="104"/>
      <c r="C22" s="104"/>
      <c r="D22" s="148" t="s">
        <v>1049</v>
      </c>
      <c r="E22" s="115" t="s">
        <v>1060</v>
      </c>
      <c r="G22" s="115" t="s">
        <v>18</v>
      </c>
      <c r="H22" s="151" t="s">
        <v>626</v>
      </c>
      <c r="L22" s="149">
        <v>46063.0</v>
      </c>
      <c r="M22" s="35">
        <f t="shared" si="2"/>
        <v>46074</v>
      </c>
      <c r="N22" s="31">
        <f t="shared" si="3"/>
        <v>46082</v>
      </c>
      <c r="O22" s="40">
        <v>46088.0</v>
      </c>
      <c r="S22" s="38"/>
    </row>
    <row r="23">
      <c r="A23" s="38">
        <f t="shared" si="1"/>
        <v>22</v>
      </c>
      <c r="B23" s="104"/>
      <c r="C23" s="104"/>
      <c r="D23" s="148" t="s">
        <v>1049</v>
      </c>
      <c r="E23" s="115" t="s">
        <v>1061</v>
      </c>
      <c r="G23" s="115" t="s">
        <v>18</v>
      </c>
      <c r="H23" s="151" t="s">
        <v>626</v>
      </c>
      <c r="L23" s="149">
        <v>46063.0</v>
      </c>
      <c r="M23" s="35">
        <f t="shared" si="2"/>
        <v>46074</v>
      </c>
      <c r="N23" s="31">
        <f t="shared" si="3"/>
        <v>46082</v>
      </c>
      <c r="O23" s="40">
        <v>46088.0</v>
      </c>
      <c r="S23" s="38"/>
    </row>
    <row r="24">
      <c r="A24" s="38">
        <f t="shared" si="1"/>
        <v>23</v>
      </c>
      <c r="B24" s="132" t="s">
        <v>1062</v>
      </c>
      <c r="C24" s="133">
        <v>6.32505086E8</v>
      </c>
      <c r="D24" s="152" t="s">
        <v>1063</v>
      </c>
      <c r="E24" s="153" t="s">
        <v>1064</v>
      </c>
      <c r="G24" s="154" t="s">
        <v>18</v>
      </c>
      <c r="H24" s="154" t="s">
        <v>264</v>
      </c>
      <c r="L24" s="149">
        <v>46064.0</v>
      </c>
      <c r="M24" s="35">
        <f t="shared" si="2"/>
        <v>46075</v>
      </c>
      <c r="N24" s="31">
        <f t="shared" si="3"/>
        <v>46083</v>
      </c>
      <c r="O24" s="21" t="s">
        <v>985</v>
      </c>
      <c r="P24" s="40">
        <v>46073.0</v>
      </c>
      <c r="S24" s="21" t="s">
        <v>23</v>
      </c>
    </row>
    <row r="25">
      <c r="A25" s="38">
        <f t="shared" si="1"/>
        <v>24</v>
      </c>
      <c r="B25" s="115" t="s">
        <v>1065</v>
      </c>
      <c r="C25" s="118">
        <v>6.32505085E8</v>
      </c>
      <c r="D25" s="148" t="s">
        <v>1063</v>
      </c>
      <c r="E25" s="127" t="s">
        <v>1066</v>
      </c>
      <c r="G25" s="127" t="s">
        <v>18</v>
      </c>
      <c r="H25" s="127" t="s">
        <v>264</v>
      </c>
      <c r="L25" s="149">
        <v>46064.0</v>
      </c>
      <c r="M25" s="35">
        <f t="shared" si="2"/>
        <v>46075</v>
      </c>
      <c r="N25" s="31">
        <f t="shared" si="3"/>
        <v>46083</v>
      </c>
      <c r="O25" s="40">
        <v>46083.0</v>
      </c>
      <c r="P25" s="40">
        <v>46087.0</v>
      </c>
      <c r="S25" s="21" t="s">
        <v>23</v>
      </c>
    </row>
    <row r="26">
      <c r="A26" s="38">
        <f t="shared" si="1"/>
        <v>25</v>
      </c>
      <c r="D26" s="148" t="s">
        <v>1049</v>
      </c>
      <c r="E26" s="115" t="s">
        <v>1067</v>
      </c>
      <c r="G26" s="129" t="s">
        <v>18</v>
      </c>
      <c r="H26" s="115" t="s">
        <v>40</v>
      </c>
      <c r="I26" s="7" t="s">
        <v>126</v>
      </c>
      <c r="J26" s="115" t="s">
        <v>368</v>
      </c>
      <c r="L26" s="149">
        <v>46065.0</v>
      </c>
      <c r="M26" s="35">
        <f t="shared" si="2"/>
        <v>46076</v>
      </c>
      <c r="N26" s="31">
        <f t="shared" si="3"/>
        <v>46084</v>
      </c>
      <c r="O26" s="40">
        <v>46073.0</v>
      </c>
      <c r="P26" s="40">
        <v>46077.0</v>
      </c>
      <c r="S26" s="21" t="s">
        <v>23</v>
      </c>
    </row>
    <row r="27">
      <c r="A27" s="38">
        <f t="shared" si="1"/>
        <v>26</v>
      </c>
      <c r="D27" s="148" t="s">
        <v>1049</v>
      </c>
      <c r="E27" s="115" t="s">
        <v>1068</v>
      </c>
      <c r="G27" s="129" t="s">
        <v>18</v>
      </c>
      <c r="H27" s="115" t="s">
        <v>40</v>
      </c>
      <c r="I27" s="7" t="s">
        <v>126</v>
      </c>
      <c r="J27" s="115" t="s">
        <v>368</v>
      </c>
      <c r="L27" s="149">
        <v>46065.0</v>
      </c>
      <c r="M27" s="35">
        <f t="shared" si="2"/>
        <v>46076</v>
      </c>
      <c r="N27" s="31">
        <f t="shared" si="3"/>
        <v>46084</v>
      </c>
      <c r="O27" s="40">
        <v>46073.0</v>
      </c>
      <c r="P27" s="40">
        <v>46077.0</v>
      </c>
      <c r="S27" s="21" t="s">
        <v>23</v>
      </c>
    </row>
    <row r="28">
      <c r="A28" s="38">
        <f t="shared" si="1"/>
        <v>27</v>
      </c>
      <c r="D28" s="148" t="s">
        <v>1049</v>
      </c>
      <c r="E28" s="115" t="s">
        <v>1069</v>
      </c>
      <c r="G28" s="129" t="s">
        <v>18</v>
      </c>
      <c r="H28" s="115" t="s">
        <v>40</v>
      </c>
      <c r="I28" s="7" t="s">
        <v>126</v>
      </c>
      <c r="J28" s="115" t="s">
        <v>368</v>
      </c>
      <c r="L28" s="149">
        <v>46065.0</v>
      </c>
      <c r="M28" s="35">
        <f t="shared" si="2"/>
        <v>46076</v>
      </c>
      <c r="N28" s="31">
        <f t="shared" si="3"/>
        <v>46084</v>
      </c>
      <c r="O28" s="40">
        <v>46073.0</v>
      </c>
      <c r="P28" s="40">
        <v>46077.0</v>
      </c>
      <c r="S28" s="21" t="s">
        <v>23</v>
      </c>
    </row>
    <row r="29">
      <c r="A29" s="38">
        <f t="shared" si="1"/>
        <v>28</v>
      </c>
      <c r="D29" s="148" t="s">
        <v>1049</v>
      </c>
      <c r="E29" s="115" t="s">
        <v>1070</v>
      </c>
      <c r="G29" s="129" t="s">
        <v>18</v>
      </c>
      <c r="H29" s="115" t="s">
        <v>40</v>
      </c>
      <c r="I29" s="7" t="s">
        <v>126</v>
      </c>
      <c r="J29" s="115" t="s">
        <v>368</v>
      </c>
      <c r="L29" s="149">
        <v>46065.0</v>
      </c>
      <c r="M29" s="35">
        <f t="shared" si="2"/>
        <v>46076</v>
      </c>
      <c r="N29" s="31">
        <f t="shared" si="3"/>
        <v>46084</v>
      </c>
      <c r="O29" s="40">
        <v>46073.0</v>
      </c>
      <c r="P29" s="40">
        <v>46077.0</v>
      </c>
      <c r="S29" s="21" t="s">
        <v>23</v>
      </c>
    </row>
    <row r="30">
      <c r="A30" s="38">
        <f t="shared" si="1"/>
        <v>29</v>
      </c>
      <c r="D30" s="148" t="s">
        <v>1049</v>
      </c>
      <c r="E30" s="115" t="s">
        <v>1071</v>
      </c>
      <c r="G30" s="129" t="s">
        <v>18</v>
      </c>
      <c r="H30" s="115" t="s">
        <v>40</v>
      </c>
      <c r="I30" s="7" t="s">
        <v>126</v>
      </c>
      <c r="J30" s="115" t="s">
        <v>368</v>
      </c>
      <c r="L30" s="149">
        <v>46065.0</v>
      </c>
      <c r="M30" s="35">
        <f t="shared" si="2"/>
        <v>46076</v>
      </c>
      <c r="N30" s="31">
        <f t="shared" si="3"/>
        <v>46084</v>
      </c>
      <c r="O30" s="40">
        <v>46073.0</v>
      </c>
      <c r="P30" s="40">
        <v>46077.0</v>
      </c>
      <c r="S30" s="21" t="s">
        <v>23</v>
      </c>
    </row>
    <row r="31">
      <c r="A31" s="38">
        <f t="shared" si="1"/>
        <v>30</v>
      </c>
      <c r="B31" s="132" t="s">
        <v>982</v>
      </c>
      <c r="C31" s="133">
        <v>6.32504671E8</v>
      </c>
      <c r="D31" s="134" t="s">
        <v>879</v>
      </c>
      <c r="E31" s="132" t="s">
        <v>983</v>
      </c>
      <c r="G31" s="135" t="s">
        <v>18</v>
      </c>
      <c r="H31" s="132" t="s">
        <v>264</v>
      </c>
      <c r="J31" s="132" t="s">
        <v>984</v>
      </c>
      <c r="L31" s="155" t="s">
        <v>961</v>
      </c>
      <c r="M31" s="35">
        <f t="shared" si="2"/>
        <v>46054</v>
      </c>
      <c r="N31" s="31">
        <f t="shared" si="3"/>
        <v>46062</v>
      </c>
      <c r="O31" s="21" t="s">
        <v>985</v>
      </c>
      <c r="P31" s="40">
        <v>46083.0</v>
      </c>
      <c r="S31" s="21" t="s">
        <v>23</v>
      </c>
    </row>
    <row r="32">
      <c r="A32" s="38">
        <f t="shared" si="1"/>
        <v>31</v>
      </c>
      <c r="B32" s="115" t="s">
        <v>1072</v>
      </c>
      <c r="C32" s="118">
        <v>6.32505159E8</v>
      </c>
      <c r="D32" s="112" t="s">
        <v>1073</v>
      </c>
      <c r="E32" s="62" t="s">
        <v>1074</v>
      </c>
      <c r="G32" s="62" t="s">
        <v>18</v>
      </c>
      <c r="L32" s="156" t="s">
        <v>1075</v>
      </c>
      <c r="M32" s="35">
        <f t="shared" si="2"/>
        <v>46078</v>
      </c>
      <c r="N32" s="31">
        <f t="shared" si="3"/>
        <v>46086</v>
      </c>
      <c r="O32" s="40">
        <v>46083.0</v>
      </c>
      <c r="P32" s="40">
        <v>46091.0</v>
      </c>
      <c r="S32" s="21" t="s">
        <v>23</v>
      </c>
    </row>
    <row r="33">
      <c r="A33" s="38">
        <f t="shared" si="1"/>
        <v>32</v>
      </c>
      <c r="B33" s="115" t="s">
        <v>1076</v>
      </c>
      <c r="C33" s="118">
        <v>6.32505158E8</v>
      </c>
      <c r="D33" s="112" t="s">
        <v>1073</v>
      </c>
      <c r="E33" s="62" t="s">
        <v>1077</v>
      </c>
      <c r="G33" s="62" t="s">
        <v>18</v>
      </c>
      <c r="L33" s="115" t="s">
        <v>1075</v>
      </c>
      <c r="M33" s="35">
        <f t="shared" si="2"/>
        <v>46078</v>
      </c>
      <c r="N33" s="31">
        <f t="shared" si="3"/>
        <v>46086</v>
      </c>
      <c r="O33" s="40">
        <v>46083.0</v>
      </c>
      <c r="P33" s="40">
        <v>46091.0</v>
      </c>
      <c r="S33" s="21" t="s">
        <v>23</v>
      </c>
    </row>
    <row r="34">
      <c r="A34" s="38">
        <f t="shared" si="1"/>
        <v>33</v>
      </c>
      <c r="B34" s="132" t="s">
        <v>1078</v>
      </c>
      <c r="C34" s="133">
        <v>6.3250523E8</v>
      </c>
      <c r="D34" s="134" t="s">
        <v>1079</v>
      </c>
      <c r="E34" s="132" t="s">
        <v>1080</v>
      </c>
      <c r="G34" s="132" t="s">
        <v>18</v>
      </c>
      <c r="H34" s="132" t="s">
        <v>264</v>
      </c>
      <c r="J34" s="132" t="s">
        <v>984</v>
      </c>
      <c r="L34" s="132" t="s">
        <v>1081</v>
      </c>
      <c r="M34" s="35">
        <f t="shared" si="2"/>
        <v>46082</v>
      </c>
      <c r="N34" s="31">
        <f t="shared" si="3"/>
        <v>46090</v>
      </c>
      <c r="O34" s="21" t="s">
        <v>985</v>
      </c>
      <c r="P34" s="40">
        <v>46093.0</v>
      </c>
      <c r="S34" s="21" t="s">
        <v>23</v>
      </c>
    </row>
    <row r="35">
      <c r="A35" s="38">
        <f t="shared" si="1"/>
        <v>34</v>
      </c>
      <c r="B35" s="115" t="s">
        <v>1082</v>
      </c>
      <c r="C35" s="118">
        <v>6.32505294E8</v>
      </c>
      <c r="D35" s="112" t="s">
        <v>1083</v>
      </c>
      <c r="E35" s="115" t="s">
        <v>1084</v>
      </c>
      <c r="G35" s="115" t="s">
        <v>1085</v>
      </c>
      <c r="H35" s="115" t="s">
        <v>264</v>
      </c>
      <c r="J35" s="115" t="s">
        <v>1024</v>
      </c>
      <c r="L35" s="115" t="s">
        <v>1081</v>
      </c>
      <c r="M35" s="35">
        <f t="shared" si="2"/>
        <v>46082</v>
      </c>
      <c r="N35" s="31">
        <f t="shared" si="3"/>
        <v>46090</v>
      </c>
      <c r="O35" s="40">
        <v>46083.0</v>
      </c>
      <c r="P35" s="40">
        <v>46091.0</v>
      </c>
      <c r="S35" s="21" t="s">
        <v>23</v>
      </c>
    </row>
    <row r="36">
      <c r="A36" s="38">
        <f t="shared" si="1"/>
        <v>35</v>
      </c>
      <c r="B36" s="115" t="s">
        <v>1086</v>
      </c>
      <c r="C36" s="118">
        <v>6.32505209E8</v>
      </c>
      <c r="D36" s="112" t="s">
        <v>1087</v>
      </c>
      <c r="E36" s="115" t="s">
        <v>1088</v>
      </c>
      <c r="G36" s="115" t="s">
        <v>624</v>
      </c>
      <c r="H36" s="115" t="s">
        <v>264</v>
      </c>
      <c r="J36" s="115" t="s">
        <v>1024</v>
      </c>
      <c r="L36" s="115" t="s">
        <v>1081</v>
      </c>
      <c r="M36" s="35">
        <f t="shared" si="2"/>
        <v>46082</v>
      </c>
      <c r="N36" s="31">
        <f t="shared" si="3"/>
        <v>46090</v>
      </c>
      <c r="O36" s="40">
        <v>46083.0</v>
      </c>
      <c r="P36" s="40">
        <v>46091.0</v>
      </c>
      <c r="S36" s="21" t="s">
        <v>23</v>
      </c>
    </row>
    <row r="37">
      <c r="A37" s="38">
        <f t="shared" si="1"/>
        <v>36</v>
      </c>
      <c r="B37" s="115" t="s">
        <v>1089</v>
      </c>
      <c r="C37" s="118">
        <v>6.32505249E8</v>
      </c>
      <c r="D37" s="112" t="s">
        <v>1090</v>
      </c>
      <c r="E37" s="115" t="s">
        <v>1091</v>
      </c>
      <c r="G37" s="115" t="s">
        <v>18</v>
      </c>
      <c r="H37" s="115" t="s">
        <v>40</v>
      </c>
      <c r="J37" s="115" t="s">
        <v>368</v>
      </c>
      <c r="L37" s="115" t="s">
        <v>1092</v>
      </c>
      <c r="M37" s="35">
        <f t="shared" si="2"/>
        <v>46083</v>
      </c>
      <c r="N37" s="31">
        <f t="shared" si="3"/>
        <v>46091</v>
      </c>
      <c r="O37" s="40">
        <v>46084.0</v>
      </c>
      <c r="P37" s="40">
        <v>46093.0</v>
      </c>
      <c r="S37" s="21" t="s">
        <v>23</v>
      </c>
    </row>
    <row r="38">
      <c r="A38" s="38">
        <f t="shared" si="1"/>
        <v>37</v>
      </c>
      <c r="B38" s="115" t="s">
        <v>1093</v>
      </c>
      <c r="C38" s="118">
        <v>6.3250525E8</v>
      </c>
      <c r="D38" s="112" t="s">
        <v>1090</v>
      </c>
      <c r="E38" s="115" t="s">
        <v>1094</v>
      </c>
      <c r="G38" s="115" t="s">
        <v>18</v>
      </c>
      <c r="H38" s="115" t="s">
        <v>40</v>
      </c>
      <c r="J38" s="115" t="s">
        <v>368</v>
      </c>
      <c r="L38" s="115" t="s">
        <v>1092</v>
      </c>
      <c r="M38" s="35">
        <f t="shared" si="2"/>
        <v>46083</v>
      </c>
      <c r="N38" s="31">
        <f t="shared" si="3"/>
        <v>46091</v>
      </c>
      <c r="O38" s="40">
        <v>46084.0</v>
      </c>
      <c r="P38" s="40">
        <v>46093.0</v>
      </c>
      <c r="S38" s="21" t="s">
        <v>23</v>
      </c>
    </row>
    <row r="39">
      <c r="A39" s="38">
        <f t="shared" si="1"/>
        <v>38</v>
      </c>
      <c r="B39" s="115" t="s">
        <v>1095</v>
      </c>
      <c r="C39" s="118">
        <v>6.32505251E8</v>
      </c>
      <c r="D39" s="112" t="s">
        <v>1090</v>
      </c>
      <c r="E39" s="115" t="s">
        <v>1096</v>
      </c>
      <c r="G39" s="115" t="s">
        <v>18</v>
      </c>
      <c r="H39" s="115" t="s">
        <v>40</v>
      </c>
      <c r="J39" s="115" t="s">
        <v>368</v>
      </c>
      <c r="L39" s="115" t="s">
        <v>1092</v>
      </c>
      <c r="M39" s="35">
        <f t="shared" si="2"/>
        <v>46083</v>
      </c>
      <c r="N39" s="31">
        <f t="shared" si="3"/>
        <v>46091</v>
      </c>
      <c r="O39" s="40">
        <v>46084.0</v>
      </c>
      <c r="P39" s="40">
        <v>46093.0</v>
      </c>
      <c r="S39" s="21" t="s">
        <v>23</v>
      </c>
    </row>
    <row r="40">
      <c r="A40" s="38">
        <f t="shared" si="1"/>
        <v>39</v>
      </c>
      <c r="B40" s="115" t="s">
        <v>1097</v>
      </c>
      <c r="C40" s="118">
        <v>6.32505252E8</v>
      </c>
      <c r="D40" s="112" t="s">
        <v>1090</v>
      </c>
      <c r="E40" s="115" t="s">
        <v>1098</v>
      </c>
      <c r="G40" s="115" t="s">
        <v>18</v>
      </c>
      <c r="H40" s="115" t="s">
        <v>40</v>
      </c>
      <c r="J40" s="115" t="s">
        <v>368</v>
      </c>
      <c r="L40" s="115" t="s">
        <v>1092</v>
      </c>
      <c r="M40" s="35">
        <f t="shared" si="2"/>
        <v>46083</v>
      </c>
      <c r="N40" s="31">
        <f t="shared" si="3"/>
        <v>46091</v>
      </c>
      <c r="O40" s="40">
        <v>46084.0</v>
      </c>
      <c r="P40" s="40">
        <v>46093.0</v>
      </c>
      <c r="S40" s="21" t="s">
        <v>23</v>
      </c>
    </row>
    <row r="41">
      <c r="A41" s="38">
        <f t="shared" si="1"/>
        <v>40</v>
      </c>
      <c r="B41" s="115" t="s">
        <v>1099</v>
      </c>
      <c r="C41" s="118">
        <v>6.32505253E8</v>
      </c>
      <c r="D41" s="112" t="s">
        <v>1090</v>
      </c>
      <c r="E41" s="115" t="s">
        <v>1100</v>
      </c>
      <c r="G41" s="115" t="s">
        <v>18</v>
      </c>
      <c r="H41" s="115" t="s">
        <v>40</v>
      </c>
      <c r="J41" s="115" t="s">
        <v>368</v>
      </c>
      <c r="L41" s="115" t="s">
        <v>1092</v>
      </c>
      <c r="M41" s="35">
        <f t="shared" si="2"/>
        <v>46083</v>
      </c>
      <c r="N41" s="31">
        <f t="shared" si="3"/>
        <v>46091</v>
      </c>
      <c r="O41" s="40">
        <v>46084.0</v>
      </c>
      <c r="P41" s="40">
        <v>46093.0</v>
      </c>
      <c r="S41" s="21" t="s">
        <v>23</v>
      </c>
    </row>
    <row r="42">
      <c r="A42" s="38">
        <f t="shared" si="1"/>
        <v>41</v>
      </c>
      <c r="B42" s="115" t="s">
        <v>1101</v>
      </c>
      <c r="C42" s="118">
        <v>6.32505254E8</v>
      </c>
      <c r="D42" s="112" t="s">
        <v>1090</v>
      </c>
      <c r="E42" s="115" t="s">
        <v>1102</v>
      </c>
      <c r="G42" s="115" t="s">
        <v>18</v>
      </c>
      <c r="H42" s="115" t="s">
        <v>40</v>
      </c>
      <c r="J42" s="115" t="s">
        <v>368</v>
      </c>
      <c r="L42" s="115" t="s">
        <v>1092</v>
      </c>
      <c r="M42" s="35">
        <f t="shared" si="2"/>
        <v>46083</v>
      </c>
      <c r="N42" s="31">
        <f t="shared" si="3"/>
        <v>46091</v>
      </c>
      <c r="O42" s="40">
        <v>46084.0</v>
      </c>
      <c r="P42" s="40">
        <v>46093.0</v>
      </c>
      <c r="S42" s="21" t="s">
        <v>23</v>
      </c>
    </row>
    <row r="43">
      <c r="A43" s="38">
        <f t="shared" si="1"/>
        <v>42</v>
      </c>
      <c r="B43" s="115" t="s">
        <v>1103</v>
      </c>
      <c r="C43" s="118">
        <v>6.32505255E8</v>
      </c>
      <c r="D43" s="112" t="s">
        <v>1090</v>
      </c>
      <c r="E43" s="115" t="s">
        <v>1104</v>
      </c>
      <c r="G43" s="115" t="s">
        <v>18</v>
      </c>
      <c r="H43" s="115" t="s">
        <v>40</v>
      </c>
      <c r="J43" s="115" t="s">
        <v>368</v>
      </c>
      <c r="L43" s="115" t="s">
        <v>1092</v>
      </c>
      <c r="M43" s="35">
        <f t="shared" si="2"/>
        <v>46083</v>
      </c>
      <c r="N43" s="31">
        <f t="shared" si="3"/>
        <v>46091</v>
      </c>
      <c r="O43" s="40">
        <v>46084.0</v>
      </c>
      <c r="P43" s="40">
        <v>46093.0</v>
      </c>
      <c r="S43" s="21" t="s">
        <v>23</v>
      </c>
    </row>
    <row r="44">
      <c r="A44" s="38">
        <f t="shared" si="1"/>
        <v>43</v>
      </c>
      <c r="B44" s="115" t="s">
        <v>1105</v>
      </c>
      <c r="C44" s="118">
        <v>6.32505256E8</v>
      </c>
      <c r="D44" s="112" t="s">
        <v>1090</v>
      </c>
      <c r="E44" s="115" t="s">
        <v>1106</v>
      </c>
      <c r="G44" s="115" t="s">
        <v>18</v>
      </c>
      <c r="H44" s="115" t="s">
        <v>40</v>
      </c>
      <c r="J44" s="115" t="s">
        <v>368</v>
      </c>
      <c r="L44" s="115" t="s">
        <v>1092</v>
      </c>
      <c r="M44" s="35">
        <f t="shared" si="2"/>
        <v>46083</v>
      </c>
      <c r="N44" s="31">
        <f t="shared" si="3"/>
        <v>46091</v>
      </c>
      <c r="O44" s="40">
        <v>46084.0</v>
      </c>
      <c r="P44" s="40">
        <v>46093.0</v>
      </c>
      <c r="S44" s="21" t="s">
        <v>23</v>
      </c>
    </row>
    <row r="45">
      <c r="A45" s="38">
        <f t="shared" si="1"/>
        <v>44</v>
      </c>
      <c r="B45" s="115" t="s">
        <v>1107</v>
      </c>
      <c r="C45" s="118">
        <v>6.32505257E8</v>
      </c>
      <c r="D45" s="112" t="s">
        <v>1090</v>
      </c>
      <c r="E45" s="115" t="s">
        <v>1108</v>
      </c>
      <c r="G45" s="115" t="s">
        <v>18</v>
      </c>
      <c r="H45" s="115" t="s">
        <v>40</v>
      </c>
      <c r="J45" s="115" t="s">
        <v>368</v>
      </c>
      <c r="L45" s="115" t="s">
        <v>1092</v>
      </c>
      <c r="M45" s="35">
        <f t="shared" si="2"/>
        <v>46083</v>
      </c>
      <c r="N45" s="31">
        <f t="shared" si="3"/>
        <v>46091</v>
      </c>
      <c r="O45" s="40">
        <v>46084.0</v>
      </c>
      <c r="P45" s="40">
        <v>46093.0</v>
      </c>
      <c r="S45" s="21" t="s">
        <v>23</v>
      </c>
    </row>
    <row r="46">
      <c r="A46" s="38">
        <f t="shared" si="1"/>
        <v>45</v>
      </c>
      <c r="B46" s="115" t="s">
        <v>1109</v>
      </c>
      <c r="C46" s="118">
        <v>6.325053E8</v>
      </c>
      <c r="D46" s="112" t="s">
        <v>1110</v>
      </c>
      <c r="E46" s="62" t="s">
        <v>1111</v>
      </c>
      <c r="G46" s="62" t="s">
        <v>18</v>
      </c>
      <c r="H46" s="62" t="s">
        <v>40</v>
      </c>
      <c r="J46" s="115" t="s">
        <v>30</v>
      </c>
      <c r="L46" s="115" t="s">
        <v>1112</v>
      </c>
      <c r="M46" s="35">
        <f t="shared" si="2"/>
        <v>46085</v>
      </c>
      <c r="N46" s="31">
        <f t="shared" si="3"/>
        <v>46093</v>
      </c>
      <c r="O46" s="40">
        <v>46087.0</v>
      </c>
      <c r="P46" s="40">
        <v>46097.0</v>
      </c>
      <c r="S46" s="21" t="s">
        <v>23</v>
      </c>
    </row>
    <row r="47">
      <c r="A47" s="38">
        <f t="shared" si="1"/>
        <v>46</v>
      </c>
      <c r="B47" s="115" t="s">
        <v>1113</v>
      </c>
      <c r="C47" s="118">
        <v>6.32505301E8</v>
      </c>
      <c r="D47" s="112" t="s">
        <v>1110</v>
      </c>
      <c r="E47" s="62" t="s">
        <v>1114</v>
      </c>
      <c r="G47" s="62" t="s">
        <v>18</v>
      </c>
      <c r="H47" s="62" t="s">
        <v>40</v>
      </c>
      <c r="J47" s="115" t="s">
        <v>30</v>
      </c>
      <c r="L47" s="115" t="s">
        <v>1112</v>
      </c>
      <c r="M47" s="35">
        <f t="shared" si="2"/>
        <v>46085</v>
      </c>
      <c r="N47" s="31">
        <f t="shared" si="3"/>
        <v>46093</v>
      </c>
      <c r="O47" s="40">
        <v>46087.0</v>
      </c>
      <c r="P47" s="40">
        <v>46097.0</v>
      </c>
      <c r="S47" s="21" t="s">
        <v>23</v>
      </c>
    </row>
    <row r="48">
      <c r="A48" s="38">
        <f t="shared" si="1"/>
        <v>47</v>
      </c>
      <c r="B48" s="115" t="s">
        <v>1115</v>
      </c>
      <c r="C48" s="118">
        <v>6.32505302E8</v>
      </c>
      <c r="D48" s="112" t="s">
        <v>1110</v>
      </c>
      <c r="E48" s="62" t="s">
        <v>1116</v>
      </c>
      <c r="G48" s="62" t="s">
        <v>18</v>
      </c>
      <c r="H48" s="62" t="s">
        <v>40</v>
      </c>
      <c r="J48" s="115" t="s">
        <v>30</v>
      </c>
      <c r="L48" s="115" t="s">
        <v>1112</v>
      </c>
      <c r="M48" s="35">
        <f t="shared" si="2"/>
        <v>46085</v>
      </c>
      <c r="N48" s="31">
        <f t="shared" si="3"/>
        <v>46093</v>
      </c>
      <c r="O48" s="40">
        <v>46087.0</v>
      </c>
      <c r="P48" s="40">
        <v>46097.0</v>
      </c>
      <c r="S48" s="21" t="s">
        <v>23</v>
      </c>
    </row>
    <row r="49">
      <c r="A49" s="38">
        <f t="shared" si="1"/>
        <v>48</v>
      </c>
      <c r="B49" s="115" t="s">
        <v>1117</v>
      </c>
      <c r="C49" s="118">
        <v>6.32505303E8</v>
      </c>
      <c r="D49" s="112" t="s">
        <v>1110</v>
      </c>
      <c r="E49" s="62" t="s">
        <v>1118</v>
      </c>
      <c r="G49" s="62" t="s">
        <v>18</v>
      </c>
      <c r="H49" s="62" t="s">
        <v>40</v>
      </c>
      <c r="J49" s="115" t="s">
        <v>30</v>
      </c>
      <c r="L49" s="115" t="s">
        <v>1112</v>
      </c>
      <c r="M49" s="35">
        <f t="shared" si="2"/>
        <v>46085</v>
      </c>
      <c r="N49" s="31">
        <f t="shared" si="3"/>
        <v>46093</v>
      </c>
      <c r="O49" s="40">
        <v>46087.0</v>
      </c>
      <c r="P49" s="40">
        <v>46097.0</v>
      </c>
      <c r="S49" s="21" t="s">
        <v>23</v>
      </c>
    </row>
    <row r="50">
      <c r="A50" s="38">
        <f t="shared" si="1"/>
        <v>49</v>
      </c>
      <c r="B50" s="115" t="s">
        <v>1119</v>
      </c>
      <c r="C50" s="118">
        <v>6.32505304E8</v>
      </c>
      <c r="D50" s="112" t="s">
        <v>1110</v>
      </c>
      <c r="E50" s="62" t="s">
        <v>1120</v>
      </c>
      <c r="G50" s="62" t="s">
        <v>18</v>
      </c>
      <c r="H50" s="62" t="s">
        <v>40</v>
      </c>
      <c r="J50" s="115" t="s">
        <v>30</v>
      </c>
      <c r="L50" s="115" t="s">
        <v>1112</v>
      </c>
      <c r="M50" s="35">
        <f t="shared" si="2"/>
        <v>46085</v>
      </c>
      <c r="N50" s="31">
        <f t="shared" si="3"/>
        <v>46093</v>
      </c>
      <c r="O50" s="40">
        <v>46087.0</v>
      </c>
      <c r="P50" s="40">
        <v>46097.0</v>
      </c>
      <c r="S50" s="21" t="s">
        <v>23</v>
      </c>
    </row>
    <row r="51">
      <c r="A51" s="38">
        <f t="shared" si="1"/>
        <v>50</v>
      </c>
      <c r="B51" s="115" t="s">
        <v>1121</v>
      </c>
      <c r="C51" s="118">
        <v>6.32505305E8</v>
      </c>
      <c r="D51" s="112" t="s">
        <v>1110</v>
      </c>
      <c r="E51" s="62" t="s">
        <v>1122</v>
      </c>
      <c r="G51" s="62" t="s">
        <v>18</v>
      </c>
      <c r="H51" s="62" t="s">
        <v>40</v>
      </c>
      <c r="J51" s="115" t="s">
        <v>30</v>
      </c>
      <c r="L51" s="115" t="s">
        <v>1112</v>
      </c>
      <c r="M51" s="35">
        <f t="shared" si="2"/>
        <v>46085</v>
      </c>
      <c r="N51" s="31">
        <f t="shared" si="3"/>
        <v>46093</v>
      </c>
      <c r="O51" s="40">
        <v>46087.0</v>
      </c>
      <c r="P51" s="40">
        <v>46097.0</v>
      </c>
      <c r="S51" s="21" t="s">
        <v>23</v>
      </c>
    </row>
    <row r="52">
      <c r="A52" s="38">
        <f t="shared" si="1"/>
        <v>51</v>
      </c>
      <c r="B52" s="115" t="s">
        <v>1123</v>
      </c>
      <c r="C52" s="118">
        <v>6.32505306E8</v>
      </c>
      <c r="D52" s="112" t="s">
        <v>1110</v>
      </c>
      <c r="E52" s="62" t="s">
        <v>1124</v>
      </c>
      <c r="G52" s="62" t="s">
        <v>18</v>
      </c>
      <c r="H52" s="62" t="s">
        <v>40</v>
      </c>
      <c r="J52" s="115" t="s">
        <v>30</v>
      </c>
      <c r="L52" s="115" t="s">
        <v>1112</v>
      </c>
      <c r="M52" s="35">
        <f t="shared" si="2"/>
        <v>46085</v>
      </c>
      <c r="N52" s="31">
        <f t="shared" si="3"/>
        <v>46093</v>
      </c>
      <c r="O52" s="40">
        <v>46087.0</v>
      </c>
      <c r="P52" s="40">
        <v>46097.0</v>
      </c>
      <c r="S52" s="21" t="s">
        <v>23</v>
      </c>
    </row>
    <row r="53">
      <c r="A53" s="38">
        <f t="shared" si="1"/>
        <v>52</v>
      </c>
      <c r="B53" s="115" t="s">
        <v>1125</v>
      </c>
      <c r="C53" s="118">
        <v>6.32505331E8</v>
      </c>
      <c r="D53" s="112" t="s">
        <v>1126</v>
      </c>
      <c r="E53" s="115" t="s">
        <v>1127</v>
      </c>
      <c r="G53" s="115" t="s">
        <v>18</v>
      </c>
      <c r="H53" s="115" t="s">
        <v>264</v>
      </c>
      <c r="J53" s="115" t="s">
        <v>359</v>
      </c>
      <c r="L53" s="115" t="s">
        <v>1112</v>
      </c>
      <c r="M53" s="35">
        <f t="shared" si="2"/>
        <v>46085</v>
      </c>
      <c r="N53" s="31">
        <f t="shared" si="3"/>
        <v>46093</v>
      </c>
      <c r="O53" s="40">
        <v>46087.0</v>
      </c>
      <c r="P53" s="40">
        <v>46098.0</v>
      </c>
      <c r="S53" s="21" t="s">
        <v>23</v>
      </c>
    </row>
    <row r="54">
      <c r="A54" s="38">
        <f t="shared" si="1"/>
        <v>53</v>
      </c>
      <c r="B54" s="115" t="s">
        <v>1128</v>
      </c>
      <c r="C54" s="118">
        <v>6.32505332E8</v>
      </c>
      <c r="D54" s="104"/>
      <c r="E54" s="115" t="s">
        <v>1129</v>
      </c>
      <c r="G54" s="115" t="s">
        <v>18</v>
      </c>
      <c r="H54" s="115" t="s">
        <v>745</v>
      </c>
      <c r="J54" s="115" t="s">
        <v>30</v>
      </c>
      <c r="L54" s="115" t="s">
        <v>1112</v>
      </c>
      <c r="M54" s="35">
        <f t="shared" si="2"/>
        <v>46085</v>
      </c>
      <c r="N54" s="31">
        <f t="shared" si="3"/>
        <v>46093</v>
      </c>
      <c r="O54" s="40">
        <v>46087.0</v>
      </c>
      <c r="P54" s="40">
        <v>46093.0</v>
      </c>
      <c r="S54" s="21" t="s">
        <v>23</v>
      </c>
    </row>
    <row r="55">
      <c r="A55" s="38">
        <f t="shared" si="1"/>
        <v>54</v>
      </c>
      <c r="B55" s="115" t="s">
        <v>1130</v>
      </c>
      <c r="C55" s="118">
        <v>6.32505333E8</v>
      </c>
      <c r="D55" s="104"/>
      <c r="E55" s="115" t="s">
        <v>1131</v>
      </c>
      <c r="G55" s="115" t="s">
        <v>18</v>
      </c>
      <c r="H55" s="115" t="s">
        <v>745</v>
      </c>
      <c r="J55" s="115" t="s">
        <v>30</v>
      </c>
      <c r="L55" s="115" t="s">
        <v>1112</v>
      </c>
      <c r="M55" s="35">
        <f t="shared" si="2"/>
        <v>46085</v>
      </c>
      <c r="N55" s="31">
        <f t="shared" si="3"/>
        <v>46093</v>
      </c>
      <c r="O55" s="40">
        <v>46087.0</v>
      </c>
      <c r="P55" s="40">
        <v>46093.0</v>
      </c>
      <c r="S55" s="21" t="s">
        <v>23</v>
      </c>
    </row>
    <row r="56">
      <c r="A56" s="38">
        <f t="shared" si="1"/>
        <v>55</v>
      </c>
      <c r="B56" s="115" t="s">
        <v>1132</v>
      </c>
      <c r="C56" s="118">
        <v>6.32505334E8</v>
      </c>
      <c r="D56" s="104"/>
      <c r="E56" s="115" t="s">
        <v>1133</v>
      </c>
      <c r="G56" s="115" t="s">
        <v>18</v>
      </c>
      <c r="H56" s="115" t="s">
        <v>745</v>
      </c>
      <c r="J56" s="115" t="s">
        <v>30</v>
      </c>
      <c r="L56" s="115" t="s">
        <v>1112</v>
      </c>
      <c r="M56" s="35">
        <f t="shared" si="2"/>
        <v>46085</v>
      </c>
      <c r="N56" s="31">
        <f t="shared" si="3"/>
        <v>46093</v>
      </c>
      <c r="O56" s="40">
        <v>46087.0</v>
      </c>
      <c r="P56" s="40">
        <v>46093.0</v>
      </c>
      <c r="S56" s="21" t="s">
        <v>23</v>
      </c>
    </row>
    <row r="57">
      <c r="A57" s="38">
        <f t="shared" si="1"/>
        <v>56</v>
      </c>
      <c r="B57" s="115" t="s">
        <v>1134</v>
      </c>
      <c r="C57" s="118">
        <v>6.32505335E8</v>
      </c>
      <c r="D57" s="104"/>
      <c r="E57" s="115" t="s">
        <v>1135</v>
      </c>
      <c r="G57" s="115" t="s">
        <v>18</v>
      </c>
      <c r="H57" s="115" t="s">
        <v>745</v>
      </c>
      <c r="J57" s="115" t="s">
        <v>30</v>
      </c>
      <c r="L57" s="115" t="s">
        <v>1112</v>
      </c>
      <c r="M57" s="35">
        <f t="shared" si="2"/>
        <v>46085</v>
      </c>
      <c r="N57" s="31">
        <f t="shared" si="3"/>
        <v>46093</v>
      </c>
      <c r="O57" s="40">
        <v>46087.0</v>
      </c>
      <c r="P57" s="40">
        <v>46093.0</v>
      </c>
      <c r="S57" s="21" t="s">
        <v>23</v>
      </c>
    </row>
    <row r="58">
      <c r="A58" s="38">
        <f t="shared" si="1"/>
        <v>57</v>
      </c>
      <c r="B58" s="115" t="s">
        <v>1136</v>
      </c>
      <c r="C58" s="118">
        <v>6.32505336E8</v>
      </c>
      <c r="D58" s="104"/>
      <c r="E58" s="115" t="s">
        <v>1137</v>
      </c>
      <c r="G58" s="115" t="s">
        <v>18</v>
      </c>
      <c r="H58" s="115" t="s">
        <v>745</v>
      </c>
      <c r="J58" s="115" t="s">
        <v>30</v>
      </c>
      <c r="L58" s="115" t="s">
        <v>1112</v>
      </c>
      <c r="M58" s="35">
        <f t="shared" si="2"/>
        <v>46085</v>
      </c>
      <c r="N58" s="31">
        <f t="shared" si="3"/>
        <v>46093</v>
      </c>
      <c r="O58" s="40">
        <v>46087.0</v>
      </c>
      <c r="P58" s="40">
        <v>46093.0</v>
      </c>
      <c r="S58" s="21" t="s">
        <v>23</v>
      </c>
    </row>
    <row r="59">
      <c r="A59" s="38">
        <f t="shared" si="1"/>
        <v>58</v>
      </c>
      <c r="B59" s="115" t="s">
        <v>1138</v>
      </c>
      <c r="C59" s="118">
        <v>6.32505337E8</v>
      </c>
      <c r="D59" s="104"/>
      <c r="E59" s="115" t="s">
        <v>1139</v>
      </c>
      <c r="G59" s="115" t="s">
        <v>18</v>
      </c>
      <c r="H59" s="115" t="s">
        <v>745</v>
      </c>
      <c r="J59" s="115" t="s">
        <v>30</v>
      </c>
      <c r="L59" s="115" t="s">
        <v>1112</v>
      </c>
      <c r="M59" s="35">
        <f t="shared" si="2"/>
        <v>46085</v>
      </c>
      <c r="N59" s="31">
        <f t="shared" si="3"/>
        <v>46093</v>
      </c>
      <c r="O59" s="40">
        <v>46087.0</v>
      </c>
      <c r="P59" s="40">
        <v>46093.0</v>
      </c>
      <c r="S59" s="21" t="s">
        <v>23</v>
      </c>
    </row>
    <row r="60">
      <c r="A60" s="38">
        <f t="shared" si="1"/>
        <v>59</v>
      </c>
      <c r="B60" s="115" t="s">
        <v>1140</v>
      </c>
      <c r="C60" s="115">
        <v>6.32505365E8</v>
      </c>
      <c r="D60" s="115" t="s">
        <v>1141</v>
      </c>
      <c r="E60" s="115" t="s">
        <v>1142</v>
      </c>
      <c r="F60" s="115"/>
      <c r="G60" s="115" t="s">
        <v>18</v>
      </c>
      <c r="H60" s="115" t="s">
        <v>745</v>
      </c>
      <c r="J60" s="115" t="s">
        <v>30</v>
      </c>
      <c r="L60" s="115" t="s">
        <v>1112</v>
      </c>
      <c r="M60" s="35">
        <f t="shared" si="2"/>
        <v>46085</v>
      </c>
      <c r="N60" s="31">
        <f t="shared" si="3"/>
        <v>46093</v>
      </c>
      <c r="O60" s="40">
        <v>46087.0</v>
      </c>
      <c r="P60" s="40">
        <v>46093.0</v>
      </c>
      <c r="S60" s="21" t="s">
        <v>23</v>
      </c>
    </row>
    <row r="61">
      <c r="A61" s="38">
        <f t="shared" si="1"/>
        <v>60</v>
      </c>
      <c r="B61" s="115" t="s">
        <v>1143</v>
      </c>
      <c r="C61" s="115">
        <v>6.32505364E8</v>
      </c>
      <c r="D61" s="115" t="s">
        <v>1141</v>
      </c>
      <c r="E61" s="115" t="s">
        <v>1144</v>
      </c>
      <c r="F61" s="115"/>
      <c r="G61" s="115" t="s">
        <v>18</v>
      </c>
      <c r="H61" s="115" t="s">
        <v>745</v>
      </c>
      <c r="J61" s="115" t="s">
        <v>30</v>
      </c>
      <c r="L61" s="115" t="s">
        <v>1112</v>
      </c>
      <c r="M61" s="35">
        <f t="shared" si="2"/>
        <v>46085</v>
      </c>
      <c r="N61" s="31">
        <f t="shared" si="3"/>
        <v>46093</v>
      </c>
      <c r="O61" s="40">
        <v>46087.0</v>
      </c>
      <c r="P61" s="40">
        <v>46093.0</v>
      </c>
      <c r="S61" s="21" t="s">
        <v>23</v>
      </c>
    </row>
    <row r="62">
      <c r="A62" s="38">
        <f t="shared" si="1"/>
        <v>61</v>
      </c>
      <c r="B62" s="104" t="s">
        <v>1145</v>
      </c>
      <c r="C62" s="120">
        <v>2.60208506E8</v>
      </c>
      <c r="D62" s="112" t="s">
        <v>1146</v>
      </c>
      <c r="E62" s="157" t="s">
        <v>1147</v>
      </c>
      <c r="G62" s="115" t="s">
        <v>18</v>
      </c>
      <c r="H62" s="115" t="s">
        <v>112</v>
      </c>
      <c r="J62" s="115" t="s">
        <v>344</v>
      </c>
      <c r="L62" s="158" t="s">
        <v>1148</v>
      </c>
      <c r="M62" s="35">
        <f t="shared" si="2"/>
        <v>46088</v>
      </c>
      <c r="N62" s="31">
        <f t="shared" si="3"/>
        <v>46096</v>
      </c>
      <c r="O62" s="40">
        <v>46090.0</v>
      </c>
      <c r="P62" s="40">
        <v>46105.0</v>
      </c>
      <c r="S62" s="21" t="s">
        <v>23</v>
      </c>
    </row>
    <row r="63">
      <c r="A63" s="38">
        <f t="shared" si="1"/>
        <v>62</v>
      </c>
      <c r="B63" s="104" t="s">
        <v>1149</v>
      </c>
      <c r="C63" s="120">
        <v>2.60208517E8</v>
      </c>
      <c r="D63" s="112" t="s">
        <v>1146</v>
      </c>
      <c r="E63" s="157" t="s">
        <v>1150</v>
      </c>
      <c r="G63" s="115" t="s">
        <v>18</v>
      </c>
      <c r="H63" s="115" t="s">
        <v>112</v>
      </c>
      <c r="J63" s="115" t="s">
        <v>344</v>
      </c>
      <c r="L63" s="115" t="s">
        <v>1148</v>
      </c>
      <c r="M63" s="35">
        <f t="shared" si="2"/>
        <v>46088</v>
      </c>
      <c r="N63" s="31">
        <f t="shared" si="3"/>
        <v>46096</v>
      </c>
      <c r="O63" s="40">
        <v>46090.0</v>
      </c>
      <c r="P63" s="40">
        <v>46105.0</v>
      </c>
      <c r="S63" s="21" t="s">
        <v>23</v>
      </c>
    </row>
    <row r="64">
      <c r="A64" s="38">
        <f t="shared" si="1"/>
        <v>63</v>
      </c>
      <c r="B64" s="104" t="s">
        <v>1151</v>
      </c>
      <c r="C64" s="120">
        <v>2.60208529E8</v>
      </c>
      <c r="D64" s="112" t="s">
        <v>1146</v>
      </c>
      <c r="E64" s="157" t="s">
        <v>1152</v>
      </c>
      <c r="G64" s="115" t="s">
        <v>18</v>
      </c>
      <c r="H64" s="115" t="s">
        <v>112</v>
      </c>
      <c r="J64" s="115" t="s">
        <v>344</v>
      </c>
      <c r="L64" s="115" t="s">
        <v>1148</v>
      </c>
      <c r="M64" s="35">
        <f t="shared" si="2"/>
        <v>46088</v>
      </c>
      <c r="N64" s="31">
        <f t="shared" si="3"/>
        <v>46096</v>
      </c>
      <c r="O64" s="40">
        <v>46090.0</v>
      </c>
      <c r="P64" s="40">
        <v>46105.0</v>
      </c>
      <c r="S64" s="21" t="s">
        <v>23</v>
      </c>
    </row>
    <row r="65">
      <c r="A65" s="38">
        <f t="shared" si="1"/>
        <v>64</v>
      </c>
      <c r="B65" s="104" t="s">
        <v>1153</v>
      </c>
      <c r="C65" s="120">
        <v>2.60208542E8</v>
      </c>
      <c r="D65" s="112" t="s">
        <v>1146</v>
      </c>
      <c r="E65" s="157" t="s">
        <v>1154</v>
      </c>
      <c r="G65" s="115" t="s">
        <v>18</v>
      </c>
      <c r="H65" s="115" t="s">
        <v>112</v>
      </c>
      <c r="J65" s="115" t="s">
        <v>344</v>
      </c>
      <c r="L65" s="115" t="s">
        <v>1148</v>
      </c>
      <c r="M65" s="35">
        <f t="shared" si="2"/>
        <v>46088</v>
      </c>
      <c r="N65" s="31">
        <f t="shared" si="3"/>
        <v>46096</v>
      </c>
      <c r="O65" s="40">
        <v>46090.0</v>
      </c>
      <c r="P65" s="40">
        <v>46105.0</v>
      </c>
      <c r="S65" s="21" t="s">
        <v>23</v>
      </c>
    </row>
    <row r="66">
      <c r="A66" s="38">
        <f t="shared" si="1"/>
        <v>65</v>
      </c>
      <c r="B66" s="104" t="s">
        <v>1155</v>
      </c>
      <c r="C66" s="120">
        <v>2.6020857E8</v>
      </c>
      <c r="D66" s="112" t="s">
        <v>1146</v>
      </c>
      <c r="E66" s="157" t="s">
        <v>1156</v>
      </c>
      <c r="G66" s="115" t="s">
        <v>18</v>
      </c>
      <c r="H66" s="115" t="s">
        <v>112</v>
      </c>
      <c r="J66" s="115" t="s">
        <v>344</v>
      </c>
      <c r="L66" s="115" t="s">
        <v>1148</v>
      </c>
      <c r="M66" s="35">
        <f t="shared" si="2"/>
        <v>46088</v>
      </c>
      <c r="N66" s="31">
        <f t="shared" si="3"/>
        <v>46096</v>
      </c>
      <c r="O66" s="40">
        <v>46090.0</v>
      </c>
      <c r="P66" s="40">
        <v>46105.0</v>
      </c>
      <c r="S66" s="21" t="s">
        <v>23</v>
      </c>
    </row>
    <row r="67">
      <c r="A67" s="38">
        <f t="shared" si="1"/>
        <v>66</v>
      </c>
      <c r="B67" s="104" t="s">
        <v>1157</v>
      </c>
      <c r="C67" s="120">
        <v>2.60208574E8</v>
      </c>
      <c r="D67" s="112" t="s">
        <v>1146</v>
      </c>
      <c r="E67" s="157" t="s">
        <v>1158</v>
      </c>
      <c r="G67" s="115" t="s">
        <v>18</v>
      </c>
      <c r="H67" s="115" t="s">
        <v>112</v>
      </c>
      <c r="J67" s="115" t="s">
        <v>344</v>
      </c>
      <c r="L67" s="115" t="s">
        <v>1148</v>
      </c>
      <c r="M67" s="35">
        <f t="shared" si="2"/>
        <v>46088</v>
      </c>
      <c r="N67" s="31">
        <f t="shared" si="3"/>
        <v>46096</v>
      </c>
      <c r="O67" s="40">
        <v>46090.0</v>
      </c>
      <c r="P67" s="40">
        <v>46105.0</v>
      </c>
      <c r="S67" s="21" t="s">
        <v>23</v>
      </c>
    </row>
    <row r="68">
      <c r="A68" s="38">
        <f t="shared" si="1"/>
        <v>67</v>
      </c>
      <c r="B68" s="159" t="s">
        <v>1159</v>
      </c>
      <c r="C68" s="120">
        <v>2.60208585E8</v>
      </c>
      <c r="D68" s="112" t="s">
        <v>1146</v>
      </c>
      <c r="E68" s="157" t="s">
        <v>1160</v>
      </c>
      <c r="G68" s="115" t="s">
        <v>18</v>
      </c>
      <c r="H68" s="115" t="s">
        <v>112</v>
      </c>
      <c r="J68" s="115" t="s">
        <v>344</v>
      </c>
      <c r="L68" s="115" t="s">
        <v>1148</v>
      </c>
      <c r="M68" s="35">
        <f t="shared" si="2"/>
        <v>46088</v>
      </c>
      <c r="N68" s="31">
        <f t="shared" si="3"/>
        <v>46096</v>
      </c>
      <c r="O68" s="40">
        <v>46090.0</v>
      </c>
      <c r="P68" s="40">
        <v>46105.0</v>
      </c>
      <c r="S68" s="21" t="s">
        <v>23</v>
      </c>
    </row>
    <row r="69">
      <c r="A69" s="38">
        <f t="shared" si="1"/>
        <v>68</v>
      </c>
      <c r="B69" s="104" t="s">
        <v>1161</v>
      </c>
      <c r="C69" s="120">
        <v>2.60208598E8</v>
      </c>
      <c r="D69" s="112" t="s">
        <v>1146</v>
      </c>
      <c r="E69" s="157" t="s">
        <v>1162</v>
      </c>
      <c r="G69" s="115" t="s">
        <v>18</v>
      </c>
      <c r="H69" s="115" t="s">
        <v>112</v>
      </c>
      <c r="J69" s="115" t="s">
        <v>344</v>
      </c>
      <c r="L69" s="115" t="s">
        <v>1148</v>
      </c>
      <c r="M69" s="35">
        <f t="shared" si="2"/>
        <v>46088</v>
      </c>
      <c r="N69" s="31">
        <f t="shared" si="3"/>
        <v>46096</v>
      </c>
      <c r="O69" s="40">
        <v>46090.0</v>
      </c>
      <c r="P69" s="40">
        <v>46105.0</v>
      </c>
      <c r="S69" s="21" t="s">
        <v>23</v>
      </c>
    </row>
    <row r="70">
      <c r="A70" s="38">
        <f t="shared" si="1"/>
        <v>69</v>
      </c>
      <c r="B70" s="159" t="s">
        <v>1163</v>
      </c>
      <c r="C70" s="120">
        <v>2.60208602E8</v>
      </c>
      <c r="D70" s="112" t="s">
        <v>1146</v>
      </c>
      <c r="E70" s="157" t="s">
        <v>1164</v>
      </c>
      <c r="G70" s="115" t="s">
        <v>18</v>
      </c>
      <c r="H70" s="115" t="s">
        <v>112</v>
      </c>
      <c r="J70" s="115" t="s">
        <v>344</v>
      </c>
      <c r="L70" s="115" t="s">
        <v>1148</v>
      </c>
      <c r="M70" s="35">
        <f t="shared" si="2"/>
        <v>46088</v>
      </c>
      <c r="N70" s="31">
        <f t="shared" si="3"/>
        <v>46096</v>
      </c>
      <c r="O70" s="40">
        <v>46090.0</v>
      </c>
      <c r="P70" s="40">
        <v>46105.0</v>
      </c>
      <c r="S70" s="21" t="s">
        <v>23</v>
      </c>
    </row>
    <row r="71">
      <c r="A71" s="38">
        <f t="shared" si="1"/>
        <v>70</v>
      </c>
      <c r="B71" s="159" t="s">
        <v>1165</v>
      </c>
      <c r="C71" s="120">
        <v>2.60208638E8</v>
      </c>
      <c r="D71" s="112" t="s">
        <v>1146</v>
      </c>
      <c r="E71" s="157" t="s">
        <v>1166</v>
      </c>
      <c r="G71" s="115" t="s">
        <v>18</v>
      </c>
      <c r="H71" s="115" t="s">
        <v>112</v>
      </c>
      <c r="J71" s="115" t="s">
        <v>344</v>
      </c>
      <c r="L71" s="115" t="s">
        <v>1148</v>
      </c>
      <c r="M71" s="35">
        <f t="shared" si="2"/>
        <v>46088</v>
      </c>
      <c r="N71" s="31">
        <f t="shared" si="3"/>
        <v>46096</v>
      </c>
      <c r="O71" s="40">
        <v>46090.0</v>
      </c>
      <c r="P71" s="40">
        <v>46105.0</v>
      </c>
      <c r="S71" s="21" t="s">
        <v>23</v>
      </c>
    </row>
    <row r="72">
      <c r="A72" s="38">
        <f t="shared" si="1"/>
        <v>71</v>
      </c>
      <c r="B72" s="104" t="s">
        <v>1167</v>
      </c>
      <c r="C72" s="120">
        <v>2.60208649E8</v>
      </c>
      <c r="D72" s="112" t="s">
        <v>1146</v>
      </c>
      <c r="E72" s="157" t="s">
        <v>1168</v>
      </c>
      <c r="G72" s="115" t="s">
        <v>18</v>
      </c>
      <c r="H72" s="115" t="s">
        <v>112</v>
      </c>
      <c r="J72" s="115" t="s">
        <v>344</v>
      </c>
      <c r="L72" s="115" t="s">
        <v>1148</v>
      </c>
      <c r="M72" s="35">
        <f t="shared" si="2"/>
        <v>46088</v>
      </c>
      <c r="N72" s="31">
        <f t="shared" si="3"/>
        <v>46096</v>
      </c>
      <c r="O72" s="40">
        <v>46090.0</v>
      </c>
      <c r="P72" s="40">
        <v>46105.0</v>
      </c>
      <c r="S72" s="21" t="s">
        <v>23</v>
      </c>
    </row>
    <row r="73">
      <c r="A73" s="38">
        <f t="shared" si="1"/>
        <v>72</v>
      </c>
      <c r="B73" s="104" t="s">
        <v>1169</v>
      </c>
      <c r="C73" s="104"/>
      <c r="D73" s="112" t="s">
        <v>1170</v>
      </c>
      <c r="E73" s="115" t="s">
        <v>1171</v>
      </c>
      <c r="G73" s="115" t="s">
        <v>18</v>
      </c>
      <c r="H73" s="115" t="s">
        <v>112</v>
      </c>
      <c r="J73" s="115" t="s">
        <v>344</v>
      </c>
      <c r="L73" s="115" t="s">
        <v>1148</v>
      </c>
      <c r="M73" s="35">
        <f t="shared" si="2"/>
        <v>46088</v>
      </c>
      <c r="N73" s="31">
        <f t="shared" si="3"/>
        <v>46096</v>
      </c>
      <c r="O73" s="40">
        <v>46090.0</v>
      </c>
      <c r="P73" s="40">
        <v>46105.0</v>
      </c>
      <c r="S73" s="21" t="s">
        <v>23</v>
      </c>
    </row>
    <row r="74">
      <c r="A74" s="38">
        <f t="shared" si="1"/>
        <v>73</v>
      </c>
      <c r="B74" s="104" t="s">
        <v>1172</v>
      </c>
      <c r="C74" s="104"/>
      <c r="D74" s="112" t="s">
        <v>1173</v>
      </c>
      <c r="E74" s="115" t="s">
        <v>1174</v>
      </c>
      <c r="G74" s="115" t="s">
        <v>18</v>
      </c>
      <c r="H74" s="115" t="s">
        <v>112</v>
      </c>
      <c r="J74" s="115" t="s">
        <v>344</v>
      </c>
      <c r="L74" s="115" t="s">
        <v>1148</v>
      </c>
      <c r="M74" s="35">
        <f t="shared" si="2"/>
        <v>46088</v>
      </c>
      <c r="N74" s="31">
        <f t="shared" si="3"/>
        <v>46096</v>
      </c>
      <c r="O74" s="40">
        <v>46090.0</v>
      </c>
      <c r="P74" s="40">
        <v>46105.0</v>
      </c>
      <c r="S74" s="21" t="s">
        <v>23</v>
      </c>
    </row>
    <row r="75">
      <c r="A75" s="38">
        <f t="shared" si="1"/>
        <v>74</v>
      </c>
      <c r="B75" s="104" t="s">
        <v>1175</v>
      </c>
      <c r="C75" s="104"/>
      <c r="D75" s="112" t="s">
        <v>1173</v>
      </c>
      <c r="E75" s="115" t="s">
        <v>1176</v>
      </c>
      <c r="G75" s="115" t="s">
        <v>18</v>
      </c>
      <c r="H75" s="115" t="s">
        <v>112</v>
      </c>
      <c r="J75" s="115" t="s">
        <v>344</v>
      </c>
      <c r="L75" s="115" t="s">
        <v>1148</v>
      </c>
      <c r="M75" s="35">
        <f t="shared" si="2"/>
        <v>46088</v>
      </c>
      <c r="N75" s="31">
        <f t="shared" si="3"/>
        <v>46096</v>
      </c>
      <c r="O75" s="40">
        <v>46090.0</v>
      </c>
      <c r="P75" s="40">
        <v>46105.0</v>
      </c>
      <c r="S75" s="21" t="s">
        <v>23</v>
      </c>
    </row>
    <row r="76">
      <c r="A76" s="38">
        <f t="shared" si="1"/>
        <v>75</v>
      </c>
      <c r="B76" s="104" t="s">
        <v>1177</v>
      </c>
      <c r="C76" s="104"/>
      <c r="D76" s="112" t="s">
        <v>987</v>
      </c>
      <c r="E76" s="115" t="s">
        <v>1178</v>
      </c>
      <c r="G76" s="115" t="s">
        <v>18</v>
      </c>
      <c r="H76" s="115" t="s">
        <v>40</v>
      </c>
      <c r="J76" s="115" t="s">
        <v>30</v>
      </c>
      <c r="L76" s="115" t="s">
        <v>1179</v>
      </c>
      <c r="M76" s="35">
        <f t="shared" si="2"/>
        <v>46090</v>
      </c>
      <c r="N76" s="31">
        <f t="shared" si="3"/>
        <v>46098</v>
      </c>
      <c r="O76" s="40">
        <v>46090.0</v>
      </c>
      <c r="P76" s="40">
        <v>46101.0</v>
      </c>
      <c r="S76" s="21" t="s">
        <v>23</v>
      </c>
    </row>
    <row r="77">
      <c r="A77" s="38">
        <f t="shared" si="1"/>
        <v>76</v>
      </c>
      <c r="B77" s="104" t="s">
        <v>1180</v>
      </c>
      <c r="C77" s="104"/>
      <c r="D77" s="112" t="s">
        <v>987</v>
      </c>
      <c r="E77" s="115" t="s">
        <v>1181</v>
      </c>
      <c r="G77" s="115" t="s">
        <v>18</v>
      </c>
      <c r="H77" s="115" t="s">
        <v>40</v>
      </c>
      <c r="J77" s="115" t="s">
        <v>30</v>
      </c>
      <c r="L77" s="115" t="s">
        <v>1179</v>
      </c>
      <c r="M77" s="35">
        <f t="shared" si="2"/>
        <v>46090</v>
      </c>
      <c r="N77" s="31">
        <f t="shared" si="3"/>
        <v>46098</v>
      </c>
      <c r="O77" s="40">
        <v>46090.0</v>
      </c>
      <c r="P77" s="40">
        <v>46101.0</v>
      </c>
      <c r="S77" s="21" t="s">
        <v>23</v>
      </c>
    </row>
    <row r="78">
      <c r="A78" s="38">
        <f t="shared" si="1"/>
        <v>77</v>
      </c>
      <c r="B78" s="104" t="s">
        <v>1182</v>
      </c>
      <c r="C78" s="104"/>
      <c r="D78" s="112" t="s">
        <v>987</v>
      </c>
      <c r="E78" s="115" t="s">
        <v>1183</v>
      </c>
      <c r="G78" s="115" t="s">
        <v>18</v>
      </c>
      <c r="H78" s="115" t="s">
        <v>40</v>
      </c>
      <c r="J78" s="115" t="s">
        <v>30</v>
      </c>
      <c r="L78" s="115" t="s">
        <v>1179</v>
      </c>
      <c r="M78" s="35">
        <f t="shared" si="2"/>
        <v>46090</v>
      </c>
      <c r="N78" s="31">
        <f t="shared" si="3"/>
        <v>46098</v>
      </c>
      <c r="O78" s="40">
        <v>46090.0</v>
      </c>
      <c r="P78" s="60">
        <v>46107.0</v>
      </c>
      <c r="S78" s="21" t="s">
        <v>23</v>
      </c>
    </row>
    <row r="79">
      <c r="A79" s="38">
        <f t="shared" si="1"/>
        <v>78</v>
      </c>
      <c r="B79" s="104" t="s">
        <v>1184</v>
      </c>
      <c r="C79" s="104"/>
      <c r="D79" s="112" t="s">
        <v>987</v>
      </c>
      <c r="E79" s="115" t="s">
        <v>1185</v>
      </c>
      <c r="G79" s="115" t="s">
        <v>18</v>
      </c>
      <c r="H79" s="115" t="s">
        <v>40</v>
      </c>
      <c r="J79" s="115" t="s">
        <v>30</v>
      </c>
      <c r="L79" s="115" t="s">
        <v>1179</v>
      </c>
      <c r="M79" s="35">
        <f t="shared" si="2"/>
        <v>46090</v>
      </c>
      <c r="N79" s="31">
        <f t="shared" si="3"/>
        <v>46098</v>
      </c>
      <c r="O79" s="40">
        <v>46090.0</v>
      </c>
      <c r="P79" s="60">
        <v>46107.0</v>
      </c>
      <c r="S79" s="21" t="s">
        <v>23</v>
      </c>
    </row>
    <row r="80">
      <c r="A80" s="38">
        <f t="shared" si="1"/>
        <v>79</v>
      </c>
      <c r="B80" s="104" t="s">
        <v>1186</v>
      </c>
      <c r="C80" s="104"/>
      <c r="D80" s="112" t="s">
        <v>987</v>
      </c>
      <c r="E80" s="115" t="s">
        <v>1187</v>
      </c>
      <c r="G80" s="115" t="s">
        <v>18</v>
      </c>
      <c r="H80" s="115" t="s">
        <v>40</v>
      </c>
      <c r="J80" s="115" t="s">
        <v>30</v>
      </c>
      <c r="L80" s="115" t="s">
        <v>1179</v>
      </c>
      <c r="M80" s="35">
        <f t="shared" si="2"/>
        <v>46090</v>
      </c>
      <c r="N80" s="31">
        <f t="shared" si="3"/>
        <v>46098</v>
      </c>
      <c r="O80" s="40">
        <v>46090.0</v>
      </c>
      <c r="P80" s="60">
        <v>46107.0</v>
      </c>
      <c r="S80" s="21" t="s">
        <v>23</v>
      </c>
    </row>
    <row r="81">
      <c r="A81" s="38">
        <f t="shared" si="1"/>
        <v>80</v>
      </c>
      <c r="B81" s="115" t="s">
        <v>1188</v>
      </c>
      <c r="C81" s="104"/>
      <c r="D81" s="112" t="s">
        <v>1189</v>
      </c>
      <c r="E81" s="115" t="s">
        <v>1190</v>
      </c>
      <c r="G81" s="115" t="s">
        <v>18</v>
      </c>
      <c r="H81" s="115" t="s">
        <v>40</v>
      </c>
      <c r="J81" s="115" t="s">
        <v>30</v>
      </c>
      <c r="L81" s="137">
        <v>46081.0</v>
      </c>
      <c r="M81" s="35">
        <f t="shared" si="2"/>
        <v>46092</v>
      </c>
      <c r="N81" s="31">
        <f t="shared" si="3"/>
        <v>46100</v>
      </c>
      <c r="O81" s="40">
        <v>46092.0</v>
      </c>
      <c r="P81" s="60">
        <v>46111.0</v>
      </c>
      <c r="S81" s="21" t="s">
        <v>23</v>
      </c>
    </row>
    <row r="82">
      <c r="A82" s="38">
        <f t="shared" si="1"/>
        <v>81</v>
      </c>
      <c r="B82" s="115" t="s">
        <v>1191</v>
      </c>
      <c r="C82" s="104"/>
      <c r="D82" s="112" t="s">
        <v>1189</v>
      </c>
      <c r="E82" s="115" t="s">
        <v>1192</v>
      </c>
      <c r="G82" s="115" t="s">
        <v>18</v>
      </c>
      <c r="H82" s="115" t="s">
        <v>40</v>
      </c>
      <c r="J82" s="115" t="s">
        <v>30</v>
      </c>
      <c r="L82" s="137">
        <v>46081.0</v>
      </c>
      <c r="M82" s="35">
        <f t="shared" si="2"/>
        <v>46092</v>
      </c>
      <c r="N82" s="31">
        <f t="shared" si="3"/>
        <v>46100</v>
      </c>
      <c r="O82" s="40">
        <v>46092.0</v>
      </c>
      <c r="P82" s="60">
        <v>46111.0</v>
      </c>
      <c r="S82" s="21" t="s">
        <v>23</v>
      </c>
    </row>
    <row r="83">
      <c r="A83" s="38">
        <f t="shared" si="1"/>
        <v>82</v>
      </c>
      <c r="B83" s="115" t="s">
        <v>1193</v>
      </c>
      <c r="C83" s="104"/>
      <c r="D83" s="112" t="s">
        <v>1189</v>
      </c>
      <c r="E83" s="115" t="s">
        <v>1194</v>
      </c>
      <c r="G83" s="115" t="s">
        <v>18</v>
      </c>
      <c r="H83" s="115" t="s">
        <v>40</v>
      </c>
      <c r="J83" s="115" t="s">
        <v>30</v>
      </c>
      <c r="L83" s="137">
        <v>46081.0</v>
      </c>
      <c r="M83" s="35">
        <f t="shared" si="2"/>
        <v>46092</v>
      </c>
      <c r="N83" s="31">
        <f t="shared" si="3"/>
        <v>46100</v>
      </c>
      <c r="O83" s="40">
        <v>46092.0</v>
      </c>
      <c r="P83" s="60">
        <v>46111.0</v>
      </c>
      <c r="S83" s="21" t="s">
        <v>23</v>
      </c>
    </row>
    <row r="84">
      <c r="A84" s="38">
        <f t="shared" si="1"/>
        <v>83</v>
      </c>
      <c r="B84" s="115" t="s">
        <v>1195</v>
      </c>
      <c r="C84" s="104"/>
      <c r="D84" s="112" t="s">
        <v>1189</v>
      </c>
      <c r="E84" s="115" t="s">
        <v>1196</v>
      </c>
      <c r="G84" s="115" t="s">
        <v>18</v>
      </c>
      <c r="H84" s="115" t="s">
        <v>40</v>
      </c>
      <c r="J84" s="115" t="s">
        <v>30</v>
      </c>
      <c r="L84" s="137">
        <v>46081.0</v>
      </c>
      <c r="M84" s="35">
        <f t="shared" si="2"/>
        <v>46092</v>
      </c>
      <c r="N84" s="31">
        <f t="shared" si="3"/>
        <v>46100</v>
      </c>
      <c r="O84" s="40">
        <v>46092.0</v>
      </c>
      <c r="P84" s="60">
        <v>46111.0</v>
      </c>
      <c r="S84" s="21" t="s">
        <v>23</v>
      </c>
    </row>
    <row r="85">
      <c r="A85" s="38">
        <f t="shared" si="1"/>
        <v>84</v>
      </c>
      <c r="B85" s="115" t="s">
        <v>1197</v>
      </c>
      <c r="C85" s="104"/>
      <c r="D85" s="112" t="s">
        <v>1189</v>
      </c>
      <c r="E85" s="115" t="s">
        <v>1198</v>
      </c>
      <c r="G85" s="115" t="s">
        <v>18</v>
      </c>
      <c r="H85" s="115" t="s">
        <v>40</v>
      </c>
      <c r="J85" s="115" t="s">
        <v>30</v>
      </c>
      <c r="L85" s="137">
        <v>46081.0</v>
      </c>
      <c r="M85" s="35">
        <f t="shared" si="2"/>
        <v>46092</v>
      </c>
      <c r="N85" s="31">
        <f t="shared" si="3"/>
        <v>46100</v>
      </c>
      <c r="O85" s="40">
        <v>46092.0</v>
      </c>
      <c r="P85" s="60">
        <v>46111.0</v>
      </c>
      <c r="S85" s="21" t="s">
        <v>23</v>
      </c>
    </row>
    <row r="86">
      <c r="A86" s="38">
        <f t="shared" si="1"/>
        <v>85</v>
      </c>
      <c r="B86" s="115" t="s">
        <v>1199</v>
      </c>
      <c r="C86" s="104"/>
      <c r="D86" s="112" t="s">
        <v>1189</v>
      </c>
      <c r="E86" s="115" t="s">
        <v>1200</v>
      </c>
      <c r="G86" s="115" t="s">
        <v>18</v>
      </c>
      <c r="H86" s="115" t="s">
        <v>40</v>
      </c>
      <c r="J86" s="115" t="s">
        <v>30</v>
      </c>
      <c r="L86" s="137">
        <v>46081.0</v>
      </c>
      <c r="M86" s="35">
        <f t="shared" si="2"/>
        <v>46092</v>
      </c>
      <c r="N86" s="31">
        <f t="shared" si="3"/>
        <v>46100</v>
      </c>
      <c r="O86" s="40">
        <v>46092.0</v>
      </c>
      <c r="P86" s="60">
        <v>46111.0</v>
      </c>
      <c r="S86" s="21" t="s">
        <v>23</v>
      </c>
    </row>
    <row r="87">
      <c r="A87" s="38">
        <f t="shared" si="1"/>
        <v>86</v>
      </c>
      <c r="B87" s="127" t="s">
        <v>1201</v>
      </c>
      <c r="C87" s="104"/>
      <c r="D87" s="112" t="s">
        <v>987</v>
      </c>
      <c r="E87" s="115" t="s">
        <v>1202</v>
      </c>
      <c r="F87" s="104"/>
      <c r="G87" s="115" t="s">
        <v>18</v>
      </c>
      <c r="H87" s="115"/>
      <c r="J87" s="115" t="s">
        <v>1024</v>
      </c>
      <c r="L87" s="137">
        <v>46081.0</v>
      </c>
      <c r="M87" s="35">
        <f t="shared" si="2"/>
        <v>46092</v>
      </c>
      <c r="N87" s="31">
        <f t="shared" si="3"/>
        <v>46100</v>
      </c>
      <c r="O87" s="40">
        <v>46095.0</v>
      </c>
      <c r="P87" s="60">
        <v>46111.0</v>
      </c>
      <c r="S87" s="21" t="s">
        <v>23</v>
      </c>
    </row>
    <row r="88">
      <c r="A88" s="38">
        <f t="shared" si="1"/>
        <v>87</v>
      </c>
      <c r="D88" s="160"/>
      <c r="E88" s="104" t="s">
        <v>1203</v>
      </c>
      <c r="G88" s="115" t="s">
        <v>1204</v>
      </c>
      <c r="H88" s="115"/>
      <c r="J88" s="115" t="s">
        <v>1024</v>
      </c>
      <c r="L88" s="104" t="s">
        <v>1148</v>
      </c>
      <c r="M88" s="35">
        <f t="shared" si="2"/>
        <v>46088</v>
      </c>
      <c r="N88" s="31">
        <f t="shared" si="3"/>
        <v>46096</v>
      </c>
      <c r="P88" s="60">
        <v>46111.0</v>
      </c>
      <c r="S88" s="21" t="s">
        <v>23</v>
      </c>
    </row>
    <row r="89">
      <c r="A89" s="38">
        <f t="shared" si="1"/>
        <v>88</v>
      </c>
      <c r="D89" s="160"/>
      <c r="E89" s="104" t="s">
        <v>1205</v>
      </c>
      <c r="G89" s="115" t="s">
        <v>1204</v>
      </c>
      <c r="H89" s="115"/>
      <c r="J89" s="115" t="s">
        <v>1024</v>
      </c>
      <c r="L89" s="104" t="s">
        <v>1148</v>
      </c>
      <c r="M89" s="35">
        <f t="shared" si="2"/>
        <v>46088</v>
      </c>
      <c r="N89" s="31">
        <f t="shared" si="3"/>
        <v>46096</v>
      </c>
      <c r="P89" s="60">
        <v>46111.0</v>
      </c>
      <c r="S89" s="21" t="s">
        <v>23</v>
      </c>
    </row>
    <row r="90">
      <c r="D90" s="160"/>
    </row>
    <row r="91">
      <c r="D91" s="160"/>
    </row>
    <row r="92">
      <c r="D92" s="160"/>
    </row>
    <row r="93">
      <c r="D93" s="160"/>
    </row>
    <row r="94">
      <c r="D94" s="160"/>
    </row>
    <row r="95">
      <c r="D95" s="160"/>
    </row>
    <row r="96">
      <c r="D96" s="160"/>
    </row>
    <row r="97">
      <c r="D97" s="160"/>
    </row>
    <row r="98">
      <c r="D98" s="160"/>
    </row>
    <row r="99">
      <c r="D99" s="160"/>
    </row>
    <row r="100">
      <c r="D100" s="160"/>
    </row>
    <row r="101">
      <c r="D101" s="160"/>
    </row>
    <row r="102">
      <c r="D102" s="160"/>
    </row>
    <row r="103">
      <c r="D103" s="160"/>
    </row>
    <row r="104">
      <c r="D104" s="160"/>
    </row>
    <row r="105">
      <c r="D105" s="160"/>
    </row>
    <row r="106">
      <c r="D106" s="160"/>
    </row>
    <row r="107">
      <c r="D107" s="160"/>
    </row>
    <row r="108">
      <c r="D108" s="160"/>
    </row>
    <row r="109">
      <c r="D109" s="160"/>
    </row>
    <row r="110">
      <c r="D110" s="160"/>
    </row>
    <row r="111">
      <c r="D111" s="160"/>
    </row>
    <row r="112">
      <c r="D112" s="160"/>
    </row>
    <row r="113">
      <c r="D113" s="160"/>
    </row>
    <row r="114">
      <c r="D114" s="160"/>
    </row>
    <row r="115">
      <c r="D115" s="160"/>
    </row>
    <row r="116">
      <c r="D116" s="160"/>
    </row>
    <row r="117">
      <c r="D117" s="160"/>
    </row>
    <row r="118">
      <c r="D118" s="160"/>
    </row>
    <row r="119">
      <c r="D119" s="160"/>
    </row>
    <row r="120">
      <c r="D120" s="160"/>
    </row>
    <row r="121">
      <c r="D121" s="160"/>
    </row>
    <row r="122">
      <c r="D122" s="160"/>
    </row>
    <row r="123">
      <c r="D123" s="160"/>
    </row>
    <row r="124">
      <c r="D124" s="160"/>
    </row>
    <row r="125">
      <c r="D125" s="160"/>
    </row>
    <row r="126">
      <c r="D126" s="160"/>
    </row>
    <row r="127">
      <c r="D127" s="160"/>
    </row>
    <row r="128">
      <c r="D128" s="160"/>
    </row>
    <row r="129">
      <c r="D129" s="160"/>
    </row>
    <row r="130">
      <c r="D130" s="160"/>
    </row>
    <row r="131">
      <c r="D131" s="160"/>
    </row>
    <row r="132">
      <c r="D132" s="160"/>
    </row>
    <row r="133">
      <c r="D133" s="160"/>
    </row>
    <row r="134">
      <c r="D134" s="160"/>
    </row>
    <row r="135">
      <c r="D135" s="160"/>
    </row>
    <row r="136">
      <c r="D136" s="160"/>
    </row>
    <row r="137">
      <c r="D137" s="160"/>
    </row>
    <row r="138">
      <c r="D138" s="160"/>
    </row>
    <row r="139">
      <c r="D139" s="160"/>
    </row>
    <row r="140">
      <c r="D140" s="160"/>
    </row>
    <row r="141">
      <c r="D141" s="160"/>
    </row>
    <row r="142">
      <c r="D142" s="160"/>
    </row>
    <row r="143">
      <c r="D143" s="160"/>
    </row>
    <row r="144">
      <c r="D144" s="160"/>
    </row>
    <row r="145">
      <c r="D145" s="160"/>
    </row>
    <row r="146">
      <c r="D146" s="160"/>
    </row>
    <row r="147">
      <c r="D147" s="160"/>
    </row>
    <row r="148">
      <c r="D148" s="160"/>
    </row>
    <row r="149">
      <c r="D149" s="160"/>
    </row>
    <row r="150">
      <c r="D150" s="160"/>
    </row>
    <row r="151">
      <c r="D151" s="160"/>
    </row>
    <row r="152">
      <c r="D152" s="160"/>
    </row>
    <row r="153">
      <c r="D153" s="160"/>
    </row>
    <row r="154">
      <c r="D154" s="160"/>
    </row>
    <row r="155">
      <c r="D155" s="160"/>
    </row>
    <row r="156">
      <c r="D156" s="160"/>
    </row>
    <row r="157">
      <c r="D157" s="160"/>
    </row>
    <row r="158">
      <c r="D158" s="160"/>
    </row>
    <row r="159">
      <c r="D159" s="160"/>
    </row>
    <row r="160">
      <c r="D160" s="160"/>
    </row>
    <row r="161">
      <c r="D161" s="160"/>
    </row>
    <row r="162">
      <c r="D162" s="160"/>
    </row>
    <row r="163">
      <c r="D163" s="160"/>
    </row>
    <row r="164">
      <c r="D164" s="160"/>
    </row>
    <row r="165">
      <c r="D165" s="160"/>
    </row>
    <row r="166">
      <c r="D166" s="160"/>
    </row>
    <row r="167">
      <c r="D167" s="160"/>
    </row>
    <row r="168">
      <c r="D168" s="160"/>
    </row>
    <row r="169">
      <c r="D169" s="160"/>
    </row>
    <row r="170">
      <c r="D170" s="160"/>
    </row>
    <row r="171">
      <c r="D171" s="160"/>
    </row>
    <row r="172">
      <c r="D172" s="160"/>
    </row>
    <row r="173">
      <c r="D173" s="160"/>
    </row>
    <row r="174">
      <c r="D174" s="160"/>
    </row>
    <row r="175">
      <c r="D175" s="160"/>
    </row>
    <row r="176">
      <c r="D176" s="160"/>
    </row>
    <row r="177">
      <c r="D177" s="160"/>
    </row>
    <row r="178">
      <c r="D178" s="160"/>
    </row>
    <row r="179">
      <c r="D179" s="160"/>
    </row>
    <row r="180">
      <c r="D180" s="160"/>
    </row>
    <row r="181">
      <c r="D181" s="160"/>
    </row>
    <row r="182">
      <c r="D182" s="160"/>
    </row>
    <row r="183">
      <c r="D183" s="160"/>
    </row>
    <row r="184">
      <c r="D184" s="160"/>
    </row>
    <row r="185">
      <c r="D185" s="160"/>
    </row>
    <row r="186">
      <c r="D186" s="160"/>
    </row>
    <row r="187">
      <c r="D187" s="160"/>
    </row>
    <row r="188">
      <c r="D188" s="160"/>
    </row>
    <row r="189">
      <c r="D189" s="160"/>
    </row>
    <row r="190">
      <c r="D190" s="160"/>
    </row>
    <row r="191">
      <c r="D191" s="160"/>
    </row>
    <row r="192">
      <c r="D192" s="160"/>
    </row>
    <row r="193">
      <c r="D193" s="160"/>
    </row>
    <row r="194">
      <c r="D194" s="160"/>
    </row>
    <row r="195">
      <c r="D195" s="160"/>
    </row>
    <row r="196">
      <c r="D196" s="160"/>
    </row>
    <row r="197">
      <c r="D197" s="160"/>
    </row>
    <row r="198">
      <c r="D198" s="160"/>
    </row>
    <row r="199">
      <c r="D199" s="160"/>
    </row>
    <row r="200">
      <c r="D200" s="160"/>
    </row>
    <row r="201">
      <c r="D201" s="160"/>
    </row>
    <row r="202">
      <c r="D202" s="160"/>
    </row>
    <row r="203">
      <c r="D203" s="160"/>
    </row>
    <row r="204">
      <c r="D204" s="160"/>
    </row>
    <row r="205">
      <c r="D205" s="160"/>
    </row>
    <row r="206">
      <c r="D206" s="160"/>
    </row>
    <row r="207">
      <c r="D207" s="160"/>
    </row>
    <row r="208">
      <c r="D208" s="160"/>
    </row>
    <row r="209">
      <c r="D209" s="160"/>
    </row>
    <row r="210">
      <c r="D210" s="160"/>
    </row>
    <row r="211">
      <c r="D211" s="160"/>
    </row>
    <row r="212">
      <c r="D212" s="160"/>
    </row>
    <row r="213">
      <c r="D213" s="160"/>
    </row>
    <row r="214">
      <c r="D214" s="160"/>
    </row>
    <row r="215">
      <c r="D215" s="160"/>
    </row>
    <row r="216">
      <c r="D216" s="160"/>
    </row>
    <row r="217">
      <c r="D217" s="160"/>
    </row>
    <row r="218">
      <c r="D218" s="160"/>
    </row>
    <row r="219">
      <c r="D219" s="160"/>
    </row>
    <row r="220">
      <c r="D220" s="160"/>
    </row>
    <row r="221">
      <c r="D221" s="160"/>
    </row>
    <row r="222">
      <c r="D222" s="160"/>
    </row>
    <row r="223">
      <c r="D223" s="160"/>
    </row>
    <row r="224">
      <c r="D224" s="160"/>
    </row>
    <row r="225">
      <c r="D225" s="160"/>
    </row>
    <row r="226">
      <c r="D226" s="160"/>
    </row>
    <row r="227">
      <c r="D227" s="160"/>
    </row>
    <row r="228">
      <c r="D228" s="160"/>
    </row>
    <row r="229">
      <c r="D229" s="160"/>
    </row>
    <row r="230">
      <c r="D230" s="160"/>
    </row>
    <row r="231">
      <c r="D231" s="160"/>
    </row>
    <row r="232">
      <c r="D232" s="160"/>
    </row>
    <row r="233">
      <c r="D233" s="160"/>
    </row>
    <row r="234">
      <c r="D234" s="160"/>
    </row>
    <row r="235">
      <c r="D235" s="160"/>
    </row>
    <row r="236">
      <c r="D236" s="160"/>
    </row>
    <row r="237">
      <c r="D237" s="160"/>
    </row>
    <row r="238">
      <c r="D238" s="160"/>
    </row>
    <row r="239">
      <c r="D239" s="160"/>
    </row>
    <row r="240">
      <c r="D240" s="160"/>
    </row>
    <row r="241">
      <c r="D241" s="160"/>
    </row>
    <row r="242">
      <c r="D242" s="160"/>
    </row>
    <row r="243">
      <c r="D243" s="160"/>
    </row>
    <row r="244">
      <c r="D244" s="160"/>
    </row>
    <row r="245">
      <c r="D245" s="160"/>
    </row>
    <row r="246">
      <c r="D246" s="160"/>
    </row>
    <row r="247">
      <c r="D247" s="160"/>
    </row>
    <row r="248">
      <c r="D248" s="160"/>
    </row>
    <row r="249">
      <c r="D249" s="160"/>
    </row>
    <row r="250">
      <c r="D250" s="160"/>
    </row>
    <row r="251">
      <c r="D251" s="160"/>
    </row>
    <row r="252">
      <c r="D252" s="160"/>
    </row>
    <row r="253">
      <c r="D253" s="160"/>
    </row>
    <row r="254">
      <c r="D254" s="160"/>
    </row>
    <row r="255">
      <c r="D255" s="160"/>
    </row>
    <row r="256">
      <c r="D256" s="160"/>
    </row>
    <row r="257">
      <c r="D257" s="160"/>
    </row>
    <row r="258">
      <c r="D258" s="160"/>
    </row>
    <row r="259">
      <c r="D259" s="160"/>
    </row>
    <row r="260">
      <c r="D260" s="160"/>
    </row>
    <row r="261">
      <c r="D261" s="160"/>
    </row>
    <row r="262">
      <c r="D262" s="160"/>
    </row>
    <row r="263">
      <c r="D263" s="160"/>
    </row>
    <row r="264">
      <c r="D264" s="160"/>
    </row>
    <row r="265">
      <c r="D265" s="160"/>
    </row>
    <row r="266">
      <c r="D266" s="160"/>
    </row>
    <row r="267">
      <c r="D267" s="160"/>
    </row>
    <row r="268">
      <c r="D268" s="160"/>
    </row>
    <row r="269">
      <c r="D269" s="160"/>
    </row>
    <row r="270">
      <c r="D270" s="160"/>
    </row>
    <row r="271">
      <c r="D271" s="160"/>
    </row>
    <row r="272">
      <c r="D272" s="160"/>
    </row>
    <row r="273">
      <c r="D273" s="160"/>
    </row>
    <row r="274">
      <c r="D274" s="160"/>
    </row>
    <row r="275">
      <c r="D275" s="160"/>
    </row>
    <row r="276">
      <c r="D276" s="160"/>
    </row>
    <row r="277">
      <c r="D277" s="160"/>
    </row>
    <row r="278">
      <c r="D278" s="160"/>
    </row>
    <row r="279">
      <c r="D279" s="160"/>
    </row>
    <row r="280">
      <c r="D280" s="160"/>
    </row>
    <row r="281">
      <c r="D281" s="160"/>
    </row>
    <row r="282">
      <c r="D282" s="160"/>
    </row>
    <row r="283">
      <c r="D283" s="160"/>
    </row>
    <row r="284">
      <c r="D284" s="160"/>
    </row>
    <row r="285">
      <c r="D285" s="160"/>
    </row>
    <row r="286">
      <c r="D286" s="160"/>
    </row>
    <row r="287">
      <c r="D287" s="160"/>
    </row>
    <row r="288">
      <c r="D288" s="160"/>
    </row>
    <row r="289">
      <c r="D289" s="160"/>
    </row>
    <row r="290">
      <c r="D290" s="160"/>
    </row>
    <row r="291">
      <c r="D291" s="160"/>
    </row>
    <row r="292">
      <c r="D292" s="160"/>
    </row>
    <row r="293">
      <c r="D293" s="160"/>
    </row>
    <row r="294">
      <c r="D294" s="160"/>
    </row>
    <row r="295">
      <c r="D295" s="160"/>
    </row>
    <row r="296">
      <c r="D296" s="160"/>
    </row>
    <row r="297">
      <c r="D297" s="160"/>
    </row>
    <row r="298">
      <c r="D298" s="160"/>
    </row>
    <row r="299">
      <c r="D299" s="160"/>
    </row>
    <row r="300">
      <c r="D300" s="160"/>
    </row>
    <row r="301">
      <c r="D301" s="160"/>
    </row>
    <row r="302">
      <c r="D302" s="160"/>
    </row>
    <row r="303">
      <c r="D303" s="160"/>
    </row>
    <row r="304">
      <c r="D304" s="160"/>
    </row>
    <row r="305">
      <c r="D305" s="160"/>
    </row>
    <row r="306">
      <c r="D306" s="160"/>
    </row>
    <row r="307">
      <c r="D307" s="160"/>
    </row>
    <row r="308">
      <c r="D308" s="160"/>
    </row>
    <row r="309">
      <c r="D309" s="160"/>
    </row>
    <row r="310">
      <c r="D310" s="160"/>
    </row>
    <row r="311">
      <c r="D311" s="160"/>
    </row>
    <row r="312">
      <c r="D312" s="160"/>
    </row>
    <row r="313">
      <c r="D313" s="160"/>
    </row>
    <row r="314">
      <c r="D314" s="160"/>
    </row>
    <row r="315">
      <c r="D315" s="160"/>
    </row>
    <row r="316">
      <c r="D316" s="160"/>
    </row>
    <row r="317">
      <c r="D317" s="160"/>
    </row>
    <row r="318">
      <c r="D318" s="160"/>
    </row>
    <row r="319">
      <c r="D319" s="160"/>
    </row>
    <row r="320">
      <c r="D320" s="160"/>
    </row>
    <row r="321">
      <c r="D321" s="160"/>
    </row>
    <row r="322">
      <c r="D322" s="160"/>
    </row>
    <row r="323">
      <c r="D323" s="160"/>
    </row>
    <row r="324">
      <c r="D324" s="160"/>
    </row>
    <row r="325">
      <c r="D325" s="160"/>
    </row>
    <row r="326">
      <c r="D326" s="160"/>
    </row>
    <row r="327">
      <c r="D327" s="160"/>
    </row>
    <row r="328">
      <c r="D328" s="160"/>
    </row>
    <row r="329">
      <c r="D329" s="160"/>
    </row>
    <row r="330">
      <c r="D330" s="160"/>
    </row>
    <row r="331">
      <c r="D331" s="160"/>
    </row>
    <row r="332">
      <c r="D332" s="160"/>
    </row>
    <row r="333">
      <c r="D333" s="160"/>
    </row>
    <row r="334">
      <c r="D334" s="160"/>
    </row>
    <row r="335">
      <c r="D335" s="160"/>
    </row>
    <row r="336">
      <c r="D336" s="160"/>
    </row>
    <row r="337">
      <c r="D337" s="160"/>
    </row>
    <row r="338">
      <c r="D338" s="160"/>
    </row>
    <row r="339">
      <c r="D339" s="160"/>
    </row>
    <row r="340">
      <c r="D340" s="160"/>
    </row>
    <row r="341">
      <c r="D341" s="160"/>
    </row>
    <row r="342">
      <c r="D342" s="160"/>
    </row>
    <row r="343">
      <c r="D343" s="160"/>
    </row>
    <row r="344">
      <c r="D344" s="160"/>
    </row>
    <row r="345">
      <c r="D345" s="160"/>
    </row>
    <row r="346">
      <c r="D346" s="160"/>
    </row>
    <row r="347">
      <c r="D347" s="160"/>
    </row>
    <row r="348">
      <c r="D348" s="160"/>
    </row>
    <row r="349">
      <c r="D349" s="160"/>
    </row>
    <row r="350">
      <c r="D350" s="160"/>
    </row>
    <row r="351">
      <c r="D351" s="160"/>
    </row>
    <row r="352">
      <c r="D352" s="160"/>
    </row>
    <row r="353">
      <c r="D353" s="160"/>
    </row>
    <row r="354">
      <c r="D354" s="160"/>
    </row>
    <row r="355">
      <c r="D355" s="160"/>
    </row>
    <row r="356">
      <c r="D356" s="160"/>
    </row>
    <row r="357">
      <c r="D357" s="160"/>
    </row>
    <row r="358">
      <c r="D358" s="160"/>
    </row>
    <row r="359">
      <c r="D359" s="160"/>
    </row>
    <row r="360">
      <c r="D360" s="160"/>
    </row>
    <row r="361">
      <c r="D361" s="160"/>
    </row>
    <row r="362">
      <c r="D362" s="160"/>
    </row>
    <row r="363">
      <c r="D363" s="160"/>
    </row>
    <row r="364">
      <c r="D364" s="160"/>
    </row>
    <row r="365">
      <c r="D365" s="160"/>
    </row>
    <row r="366">
      <c r="D366" s="160"/>
    </row>
    <row r="367">
      <c r="D367" s="160"/>
    </row>
    <row r="368">
      <c r="D368" s="160"/>
    </row>
    <row r="369">
      <c r="D369" s="160"/>
    </row>
    <row r="370">
      <c r="D370" s="160"/>
    </row>
    <row r="371">
      <c r="D371" s="160"/>
    </row>
    <row r="372">
      <c r="D372" s="160"/>
    </row>
    <row r="373">
      <c r="D373" s="160"/>
    </row>
    <row r="374">
      <c r="D374" s="160"/>
    </row>
    <row r="375">
      <c r="D375" s="160"/>
    </row>
    <row r="376">
      <c r="D376" s="160"/>
    </row>
    <row r="377">
      <c r="D377" s="160"/>
    </row>
    <row r="378">
      <c r="D378" s="160"/>
    </row>
    <row r="379">
      <c r="D379" s="160"/>
    </row>
    <row r="380">
      <c r="D380" s="160"/>
    </row>
    <row r="381">
      <c r="D381" s="160"/>
    </row>
    <row r="382">
      <c r="D382" s="160"/>
    </row>
    <row r="383">
      <c r="D383" s="160"/>
    </row>
    <row r="384">
      <c r="D384" s="160"/>
    </row>
    <row r="385">
      <c r="D385" s="160"/>
    </row>
    <row r="386">
      <c r="D386" s="160"/>
    </row>
    <row r="387">
      <c r="D387" s="160"/>
    </row>
    <row r="388">
      <c r="D388" s="160"/>
    </row>
    <row r="389">
      <c r="D389" s="160"/>
    </row>
    <row r="390">
      <c r="D390" s="160"/>
    </row>
    <row r="391">
      <c r="D391" s="160"/>
    </row>
    <row r="392">
      <c r="D392" s="160"/>
    </row>
    <row r="393">
      <c r="D393" s="160"/>
    </row>
    <row r="394">
      <c r="D394" s="160"/>
    </row>
    <row r="395">
      <c r="D395" s="160"/>
    </row>
    <row r="396">
      <c r="D396" s="160"/>
    </row>
    <row r="397">
      <c r="D397" s="160"/>
    </row>
    <row r="398">
      <c r="D398" s="160"/>
    </row>
    <row r="399">
      <c r="D399" s="160"/>
    </row>
    <row r="400">
      <c r="D400" s="160"/>
    </row>
    <row r="401">
      <c r="D401" s="160"/>
    </row>
    <row r="402">
      <c r="D402" s="160"/>
    </row>
    <row r="403">
      <c r="D403" s="160"/>
    </row>
    <row r="404">
      <c r="D404" s="160"/>
    </row>
    <row r="405">
      <c r="D405" s="160"/>
    </row>
    <row r="406">
      <c r="D406" s="160"/>
    </row>
    <row r="407">
      <c r="D407" s="160"/>
    </row>
    <row r="408">
      <c r="D408" s="160"/>
    </row>
    <row r="409">
      <c r="D409" s="160"/>
    </row>
    <row r="410">
      <c r="D410" s="160"/>
    </row>
    <row r="411">
      <c r="D411" s="160"/>
    </row>
    <row r="412">
      <c r="D412" s="160"/>
    </row>
    <row r="413">
      <c r="D413" s="160"/>
    </row>
    <row r="414">
      <c r="D414" s="160"/>
    </row>
    <row r="415">
      <c r="D415" s="160"/>
    </row>
    <row r="416">
      <c r="D416" s="160"/>
    </row>
    <row r="417">
      <c r="D417" s="160"/>
    </row>
    <row r="418">
      <c r="D418" s="160"/>
    </row>
    <row r="419">
      <c r="D419" s="160"/>
    </row>
    <row r="420">
      <c r="D420" s="160"/>
    </row>
    <row r="421">
      <c r="D421" s="160"/>
    </row>
    <row r="422">
      <c r="D422" s="160"/>
    </row>
    <row r="423">
      <c r="D423" s="160"/>
    </row>
    <row r="424">
      <c r="D424" s="160"/>
    </row>
    <row r="425">
      <c r="D425" s="160"/>
    </row>
    <row r="426">
      <c r="D426" s="160"/>
    </row>
    <row r="427">
      <c r="D427" s="160"/>
    </row>
    <row r="428">
      <c r="D428" s="160"/>
    </row>
    <row r="429">
      <c r="D429" s="160"/>
    </row>
    <row r="430">
      <c r="D430" s="160"/>
    </row>
    <row r="431">
      <c r="D431" s="160"/>
    </row>
    <row r="432">
      <c r="D432" s="160"/>
    </row>
    <row r="433">
      <c r="D433" s="160"/>
    </row>
    <row r="434">
      <c r="D434" s="160"/>
    </row>
    <row r="435">
      <c r="D435" s="160"/>
    </row>
    <row r="436">
      <c r="D436" s="160"/>
    </row>
    <row r="437">
      <c r="D437" s="160"/>
    </row>
    <row r="438">
      <c r="D438" s="160"/>
    </row>
    <row r="439">
      <c r="D439" s="160"/>
    </row>
    <row r="440">
      <c r="D440" s="160"/>
    </row>
    <row r="441">
      <c r="D441" s="160"/>
    </row>
    <row r="442">
      <c r="D442" s="160"/>
    </row>
    <row r="443">
      <c r="D443" s="160"/>
    </row>
    <row r="444">
      <c r="D444" s="160"/>
    </row>
    <row r="445">
      <c r="D445" s="160"/>
    </row>
    <row r="446">
      <c r="D446" s="160"/>
    </row>
    <row r="447">
      <c r="D447" s="160"/>
    </row>
    <row r="448">
      <c r="D448" s="160"/>
    </row>
    <row r="449">
      <c r="D449" s="160"/>
    </row>
    <row r="450">
      <c r="D450" s="160"/>
    </row>
    <row r="451">
      <c r="D451" s="160"/>
    </row>
    <row r="452">
      <c r="D452" s="160"/>
    </row>
    <row r="453">
      <c r="D453" s="160"/>
    </row>
    <row r="454">
      <c r="D454" s="160"/>
    </row>
    <row r="455">
      <c r="D455" s="160"/>
    </row>
    <row r="456">
      <c r="D456" s="160"/>
    </row>
    <row r="457">
      <c r="D457" s="160"/>
    </row>
    <row r="458">
      <c r="D458" s="160"/>
    </row>
    <row r="459">
      <c r="D459" s="160"/>
    </row>
    <row r="460">
      <c r="D460" s="160"/>
    </row>
    <row r="461">
      <c r="D461" s="160"/>
    </row>
    <row r="462">
      <c r="D462" s="160"/>
    </row>
    <row r="463">
      <c r="D463" s="160"/>
    </row>
    <row r="464">
      <c r="D464" s="160"/>
    </row>
    <row r="465">
      <c r="D465" s="160"/>
    </row>
    <row r="466">
      <c r="D466" s="160"/>
    </row>
    <row r="467">
      <c r="D467" s="160"/>
    </row>
    <row r="468">
      <c r="D468" s="160"/>
    </row>
    <row r="469">
      <c r="D469" s="160"/>
    </row>
    <row r="470">
      <c r="D470" s="160"/>
    </row>
    <row r="471">
      <c r="D471" s="160"/>
    </row>
    <row r="472">
      <c r="D472" s="160"/>
    </row>
    <row r="473">
      <c r="D473" s="160"/>
    </row>
    <row r="474">
      <c r="D474" s="160"/>
    </row>
    <row r="475">
      <c r="D475" s="160"/>
    </row>
    <row r="476">
      <c r="D476" s="160"/>
    </row>
    <row r="477">
      <c r="D477" s="160"/>
    </row>
    <row r="478">
      <c r="D478" s="160"/>
    </row>
    <row r="479">
      <c r="D479" s="160"/>
    </row>
    <row r="480">
      <c r="D480" s="160"/>
    </row>
    <row r="481">
      <c r="D481" s="160"/>
    </row>
    <row r="482">
      <c r="D482" s="160"/>
    </row>
    <row r="483">
      <c r="D483" s="160"/>
    </row>
    <row r="484">
      <c r="D484" s="160"/>
    </row>
    <row r="485">
      <c r="D485" s="160"/>
    </row>
    <row r="486">
      <c r="D486" s="160"/>
    </row>
    <row r="487">
      <c r="D487" s="160"/>
    </row>
    <row r="488">
      <c r="D488" s="160"/>
    </row>
    <row r="489">
      <c r="D489" s="160"/>
    </row>
    <row r="490">
      <c r="D490" s="160"/>
    </row>
    <row r="491">
      <c r="D491" s="160"/>
    </row>
    <row r="492">
      <c r="D492" s="160"/>
    </row>
    <row r="493">
      <c r="D493" s="160"/>
    </row>
    <row r="494">
      <c r="D494" s="160"/>
    </row>
    <row r="495">
      <c r="D495" s="160"/>
    </row>
    <row r="496">
      <c r="D496" s="160"/>
    </row>
    <row r="497">
      <c r="D497" s="160"/>
    </row>
    <row r="498">
      <c r="D498" s="160"/>
    </row>
    <row r="499">
      <c r="D499" s="160"/>
    </row>
    <row r="500">
      <c r="D500" s="160"/>
    </row>
    <row r="501">
      <c r="D501" s="160"/>
    </row>
    <row r="502">
      <c r="D502" s="160"/>
    </row>
    <row r="503">
      <c r="D503" s="160"/>
    </row>
    <row r="504">
      <c r="D504" s="160"/>
    </row>
    <row r="505">
      <c r="D505" s="160"/>
    </row>
    <row r="506">
      <c r="D506" s="160"/>
    </row>
    <row r="507">
      <c r="D507" s="160"/>
    </row>
    <row r="508">
      <c r="D508" s="160"/>
    </row>
    <row r="509">
      <c r="D509" s="160"/>
    </row>
    <row r="510">
      <c r="D510" s="160"/>
    </row>
    <row r="511">
      <c r="D511" s="160"/>
    </row>
    <row r="512">
      <c r="D512" s="160"/>
    </row>
    <row r="513">
      <c r="D513" s="160"/>
    </row>
    <row r="514">
      <c r="D514" s="160"/>
    </row>
    <row r="515">
      <c r="D515" s="160"/>
    </row>
    <row r="516">
      <c r="D516" s="160"/>
    </row>
    <row r="517">
      <c r="D517" s="160"/>
    </row>
    <row r="518">
      <c r="D518" s="160"/>
    </row>
    <row r="519">
      <c r="D519" s="160"/>
    </row>
    <row r="520">
      <c r="D520" s="160"/>
    </row>
    <row r="521">
      <c r="D521" s="160"/>
    </row>
    <row r="522">
      <c r="D522" s="160"/>
    </row>
    <row r="523">
      <c r="D523" s="160"/>
    </row>
    <row r="524">
      <c r="D524" s="160"/>
    </row>
    <row r="525">
      <c r="D525" s="160"/>
    </row>
    <row r="526">
      <c r="D526" s="160"/>
    </row>
    <row r="527">
      <c r="D527" s="160"/>
    </row>
    <row r="528">
      <c r="D528" s="160"/>
    </row>
    <row r="529">
      <c r="D529" s="160"/>
    </row>
    <row r="530">
      <c r="D530" s="160"/>
    </row>
    <row r="531">
      <c r="D531" s="160"/>
    </row>
    <row r="532">
      <c r="D532" s="160"/>
    </row>
    <row r="533">
      <c r="D533" s="160"/>
    </row>
    <row r="534">
      <c r="D534" s="160"/>
    </row>
    <row r="535">
      <c r="D535" s="160"/>
    </row>
    <row r="536">
      <c r="D536" s="160"/>
    </row>
    <row r="537">
      <c r="D537" s="160"/>
    </row>
    <row r="538">
      <c r="D538" s="160"/>
    </row>
    <row r="539">
      <c r="D539" s="160"/>
    </row>
    <row r="540">
      <c r="D540" s="160"/>
    </row>
    <row r="541">
      <c r="D541" s="160"/>
    </row>
    <row r="542">
      <c r="D542" s="160"/>
    </row>
    <row r="543">
      <c r="D543" s="160"/>
    </row>
    <row r="544">
      <c r="D544" s="160"/>
    </row>
    <row r="545">
      <c r="D545" s="160"/>
    </row>
    <row r="546">
      <c r="D546" s="160"/>
    </row>
    <row r="547">
      <c r="D547" s="160"/>
    </row>
    <row r="548">
      <c r="D548" s="160"/>
    </row>
    <row r="549">
      <c r="D549" s="160"/>
    </row>
    <row r="550">
      <c r="D550" s="160"/>
    </row>
    <row r="551">
      <c r="D551" s="160"/>
    </row>
    <row r="552">
      <c r="D552" s="160"/>
    </row>
    <row r="553">
      <c r="D553" s="160"/>
    </row>
    <row r="554">
      <c r="D554" s="160"/>
    </row>
    <row r="555">
      <c r="D555" s="160"/>
    </row>
    <row r="556">
      <c r="D556" s="160"/>
    </row>
    <row r="557">
      <c r="D557" s="160"/>
    </row>
    <row r="558">
      <c r="D558" s="160"/>
    </row>
    <row r="559">
      <c r="D559" s="160"/>
    </row>
    <row r="560">
      <c r="D560" s="160"/>
    </row>
    <row r="561">
      <c r="D561" s="160"/>
    </row>
    <row r="562">
      <c r="D562" s="160"/>
    </row>
    <row r="563">
      <c r="D563" s="160"/>
    </row>
    <row r="564">
      <c r="D564" s="160"/>
    </row>
    <row r="565">
      <c r="D565" s="160"/>
    </row>
    <row r="566">
      <c r="D566" s="160"/>
    </row>
    <row r="567">
      <c r="D567" s="160"/>
    </row>
    <row r="568">
      <c r="D568" s="160"/>
    </row>
    <row r="569">
      <c r="D569" s="160"/>
    </row>
    <row r="570">
      <c r="D570" s="160"/>
    </row>
    <row r="571">
      <c r="D571" s="160"/>
    </row>
    <row r="572">
      <c r="D572" s="160"/>
    </row>
    <row r="573">
      <c r="D573" s="160"/>
    </row>
    <row r="574">
      <c r="D574" s="160"/>
    </row>
    <row r="575">
      <c r="D575" s="160"/>
    </row>
    <row r="576">
      <c r="D576" s="160"/>
    </row>
    <row r="577">
      <c r="D577" s="160"/>
    </row>
    <row r="578">
      <c r="D578" s="160"/>
    </row>
    <row r="579">
      <c r="D579" s="160"/>
    </row>
    <row r="580">
      <c r="D580" s="160"/>
    </row>
    <row r="581">
      <c r="D581" s="160"/>
    </row>
    <row r="582">
      <c r="D582" s="160"/>
    </row>
    <row r="583">
      <c r="D583" s="160"/>
    </row>
    <row r="584">
      <c r="D584" s="160"/>
    </row>
    <row r="585">
      <c r="D585" s="160"/>
    </row>
    <row r="586">
      <c r="D586" s="160"/>
    </row>
    <row r="587">
      <c r="D587" s="160"/>
    </row>
    <row r="588">
      <c r="D588" s="160"/>
    </row>
    <row r="589">
      <c r="D589" s="160"/>
    </row>
    <row r="590">
      <c r="D590" s="160"/>
    </row>
    <row r="591">
      <c r="D591" s="160"/>
    </row>
    <row r="592">
      <c r="D592" s="160"/>
    </row>
    <row r="593">
      <c r="D593" s="160"/>
    </row>
    <row r="594">
      <c r="D594" s="160"/>
    </row>
    <row r="595">
      <c r="D595" s="160"/>
    </row>
    <row r="596">
      <c r="D596" s="160"/>
    </row>
    <row r="597">
      <c r="D597" s="160"/>
    </row>
    <row r="598">
      <c r="D598" s="160"/>
    </row>
    <row r="599">
      <c r="D599" s="160"/>
    </row>
    <row r="600">
      <c r="D600" s="160"/>
    </row>
    <row r="601">
      <c r="D601" s="160"/>
    </row>
    <row r="602">
      <c r="D602" s="160"/>
    </row>
    <row r="603">
      <c r="D603" s="160"/>
    </row>
    <row r="604">
      <c r="D604" s="160"/>
    </row>
    <row r="605">
      <c r="D605" s="160"/>
    </row>
    <row r="606">
      <c r="D606" s="160"/>
    </row>
    <row r="607">
      <c r="D607" s="160"/>
    </row>
    <row r="608">
      <c r="D608" s="160"/>
    </row>
    <row r="609">
      <c r="D609" s="160"/>
    </row>
    <row r="610">
      <c r="D610" s="160"/>
    </row>
    <row r="611">
      <c r="D611" s="160"/>
    </row>
    <row r="612">
      <c r="D612" s="160"/>
    </row>
    <row r="613">
      <c r="D613" s="160"/>
    </row>
    <row r="614">
      <c r="D614" s="160"/>
    </row>
    <row r="615">
      <c r="D615" s="160"/>
    </row>
    <row r="616">
      <c r="D616" s="160"/>
    </row>
    <row r="617">
      <c r="D617" s="160"/>
    </row>
    <row r="618">
      <c r="D618" s="160"/>
    </row>
    <row r="619">
      <c r="D619" s="160"/>
    </row>
    <row r="620">
      <c r="D620" s="160"/>
    </row>
    <row r="621">
      <c r="D621" s="160"/>
    </row>
    <row r="622">
      <c r="D622" s="160"/>
    </row>
    <row r="623">
      <c r="D623" s="160"/>
    </row>
    <row r="624">
      <c r="D624" s="160"/>
    </row>
    <row r="625">
      <c r="D625" s="160"/>
    </row>
    <row r="626">
      <c r="D626" s="160"/>
    </row>
    <row r="627">
      <c r="D627" s="160"/>
    </row>
    <row r="628">
      <c r="D628" s="160"/>
    </row>
    <row r="629">
      <c r="D629" s="160"/>
    </row>
    <row r="630">
      <c r="D630" s="160"/>
    </row>
    <row r="631">
      <c r="D631" s="160"/>
    </row>
    <row r="632">
      <c r="D632" s="160"/>
    </row>
    <row r="633">
      <c r="D633" s="160"/>
    </row>
    <row r="634">
      <c r="D634" s="160"/>
    </row>
    <row r="635">
      <c r="D635" s="160"/>
    </row>
    <row r="636">
      <c r="D636" s="160"/>
    </row>
    <row r="637">
      <c r="D637" s="160"/>
    </row>
    <row r="638">
      <c r="D638" s="160"/>
    </row>
    <row r="639">
      <c r="D639" s="160"/>
    </row>
    <row r="640">
      <c r="D640" s="160"/>
    </row>
    <row r="641">
      <c r="D641" s="160"/>
    </row>
    <row r="642">
      <c r="D642" s="160"/>
    </row>
    <row r="643">
      <c r="D643" s="160"/>
    </row>
    <row r="644">
      <c r="D644" s="160"/>
    </row>
    <row r="645">
      <c r="D645" s="160"/>
    </row>
    <row r="646">
      <c r="D646" s="160"/>
    </row>
    <row r="647">
      <c r="D647" s="160"/>
    </row>
    <row r="648">
      <c r="D648" s="160"/>
    </row>
    <row r="649">
      <c r="D649" s="160"/>
    </row>
    <row r="650">
      <c r="D650" s="160"/>
    </row>
    <row r="651">
      <c r="D651" s="160"/>
    </row>
    <row r="652">
      <c r="D652" s="160"/>
    </row>
    <row r="653">
      <c r="D653" s="160"/>
    </row>
    <row r="654">
      <c r="D654" s="160"/>
    </row>
    <row r="655">
      <c r="D655" s="160"/>
    </row>
    <row r="656">
      <c r="D656" s="160"/>
    </row>
    <row r="657">
      <c r="D657" s="160"/>
    </row>
    <row r="658">
      <c r="D658" s="160"/>
    </row>
    <row r="659">
      <c r="D659" s="160"/>
    </row>
    <row r="660">
      <c r="D660" s="160"/>
    </row>
    <row r="661">
      <c r="D661" s="160"/>
    </row>
    <row r="662">
      <c r="D662" s="160"/>
    </row>
    <row r="663">
      <c r="D663" s="160"/>
    </row>
    <row r="664">
      <c r="D664" s="160"/>
    </row>
    <row r="665">
      <c r="D665" s="160"/>
    </row>
    <row r="666">
      <c r="D666" s="160"/>
    </row>
    <row r="667">
      <c r="D667" s="160"/>
    </row>
    <row r="668">
      <c r="D668" s="160"/>
    </row>
    <row r="669">
      <c r="D669" s="160"/>
    </row>
    <row r="670">
      <c r="D670" s="160"/>
    </row>
    <row r="671">
      <c r="D671" s="160"/>
    </row>
    <row r="672">
      <c r="D672" s="160"/>
    </row>
    <row r="673">
      <c r="D673" s="160"/>
    </row>
    <row r="674">
      <c r="D674" s="160"/>
    </row>
    <row r="675">
      <c r="D675" s="160"/>
    </row>
    <row r="676">
      <c r="D676" s="160"/>
    </row>
    <row r="677">
      <c r="D677" s="160"/>
    </row>
    <row r="678">
      <c r="D678" s="160"/>
    </row>
    <row r="679">
      <c r="D679" s="160"/>
    </row>
    <row r="680">
      <c r="D680" s="160"/>
    </row>
    <row r="681">
      <c r="D681" s="160"/>
    </row>
    <row r="682">
      <c r="D682" s="160"/>
    </row>
    <row r="683">
      <c r="D683" s="160"/>
    </row>
    <row r="684">
      <c r="D684" s="160"/>
    </row>
    <row r="685">
      <c r="D685" s="160"/>
    </row>
    <row r="686">
      <c r="D686" s="160"/>
    </row>
    <row r="687">
      <c r="D687" s="160"/>
    </row>
    <row r="688">
      <c r="D688" s="160"/>
    </row>
    <row r="689">
      <c r="D689" s="160"/>
    </row>
    <row r="690">
      <c r="D690" s="160"/>
    </row>
    <row r="691">
      <c r="D691" s="160"/>
    </row>
    <row r="692">
      <c r="D692" s="160"/>
    </row>
    <row r="693">
      <c r="D693" s="160"/>
    </row>
    <row r="694">
      <c r="D694" s="160"/>
    </row>
    <row r="695">
      <c r="D695" s="160"/>
    </row>
    <row r="696">
      <c r="D696" s="160"/>
    </row>
    <row r="697">
      <c r="D697" s="160"/>
    </row>
    <row r="698">
      <c r="D698" s="160"/>
    </row>
    <row r="699">
      <c r="D699" s="160"/>
    </row>
    <row r="700">
      <c r="D700" s="160"/>
    </row>
    <row r="701">
      <c r="D701" s="160"/>
    </row>
    <row r="702">
      <c r="D702" s="160"/>
    </row>
    <row r="703">
      <c r="D703" s="160"/>
    </row>
    <row r="704">
      <c r="D704" s="160"/>
    </row>
    <row r="705">
      <c r="D705" s="160"/>
    </row>
    <row r="706">
      <c r="D706" s="160"/>
    </row>
    <row r="707">
      <c r="D707" s="160"/>
    </row>
    <row r="708">
      <c r="D708" s="160"/>
    </row>
    <row r="709">
      <c r="D709" s="160"/>
    </row>
    <row r="710">
      <c r="D710" s="160"/>
    </row>
    <row r="711">
      <c r="D711" s="160"/>
    </row>
    <row r="712">
      <c r="D712" s="160"/>
    </row>
    <row r="713">
      <c r="D713" s="160"/>
    </row>
    <row r="714">
      <c r="D714" s="160"/>
    </row>
    <row r="715">
      <c r="D715" s="160"/>
    </row>
    <row r="716">
      <c r="D716" s="160"/>
    </row>
    <row r="717">
      <c r="D717" s="160"/>
    </row>
    <row r="718">
      <c r="D718" s="160"/>
    </row>
    <row r="719">
      <c r="D719" s="160"/>
    </row>
    <row r="720">
      <c r="D720" s="160"/>
    </row>
    <row r="721">
      <c r="D721" s="160"/>
    </row>
    <row r="722">
      <c r="D722" s="160"/>
    </row>
    <row r="723">
      <c r="D723" s="160"/>
    </row>
    <row r="724">
      <c r="D724" s="160"/>
    </row>
    <row r="725">
      <c r="D725" s="160"/>
    </row>
    <row r="726">
      <c r="D726" s="160"/>
    </row>
    <row r="727">
      <c r="D727" s="160"/>
    </row>
    <row r="728">
      <c r="D728" s="160"/>
    </row>
    <row r="729">
      <c r="D729" s="160"/>
    </row>
    <row r="730">
      <c r="D730" s="160"/>
    </row>
    <row r="731">
      <c r="D731" s="160"/>
    </row>
    <row r="732">
      <c r="D732" s="160"/>
    </row>
    <row r="733">
      <c r="D733" s="160"/>
    </row>
    <row r="734">
      <c r="D734" s="160"/>
    </row>
    <row r="735">
      <c r="D735" s="160"/>
    </row>
    <row r="736">
      <c r="D736" s="160"/>
    </row>
    <row r="737">
      <c r="D737" s="160"/>
    </row>
    <row r="738">
      <c r="D738" s="160"/>
    </row>
    <row r="739">
      <c r="D739" s="160"/>
    </row>
    <row r="740">
      <c r="D740" s="160"/>
    </row>
    <row r="741">
      <c r="D741" s="160"/>
    </row>
    <row r="742">
      <c r="D742" s="160"/>
    </row>
    <row r="743">
      <c r="D743" s="160"/>
    </row>
    <row r="744">
      <c r="D744" s="160"/>
    </row>
    <row r="745">
      <c r="D745" s="160"/>
    </row>
    <row r="746">
      <c r="D746" s="160"/>
    </row>
    <row r="747">
      <c r="D747" s="160"/>
    </row>
    <row r="748">
      <c r="D748" s="160"/>
    </row>
    <row r="749">
      <c r="D749" s="160"/>
    </row>
    <row r="750">
      <c r="D750" s="160"/>
    </row>
    <row r="751">
      <c r="D751" s="160"/>
    </row>
    <row r="752">
      <c r="D752" s="160"/>
    </row>
    <row r="753">
      <c r="D753" s="160"/>
    </row>
    <row r="754">
      <c r="D754" s="160"/>
    </row>
    <row r="755">
      <c r="D755" s="160"/>
    </row>
    <row r="756">
      <c r="D756" s="160"/>
    </row>
    <row r="757">
      <c r="D757" s="160"/>
    </row>
    <row r="758">
      <c r="D758" s="160"/>
    </row>
    <row r="759">
      <c r="D759" s="160"/>
    </row>
    <row r="760">
      <c r="D760" s="160"/>
    </row>
    <row r="761">
      <c r="D761" s="160"/>
    </row>
    <row r="762">
      <c r="D762" s="160"/>
    </row>
    <row r="763">
      <c r="D763" s="160"/>
    </row>
    <row r="764">
      <c r="D764" s="160"/>
    </row>
    <row r="765">
      <c r="D765" s="160"/>
    </row>
    <row r="766">
      <c r="D766" s="160"/>
    </row>
    <row r="767">
      <c r="D767" s="160"/>
    </row>
    <row r="768">
      <c r="D768" s="160"/>
    </row>
    <row r="769">
      <c r="D769" s="160"/>
    </row>
    <row r="770">
      <c r="D770" s="160"/>
    </row>
    <row r="771">
      <c r="D771" s="160"/>
    </row>
    <row r="772">
      <c r="D772" s="160"/>
    </row>
    <row r="773">
      <c r="D773" s="160"/>
    </row>
    <row r="774">
      <c r="D774" s="160"/>
    </row>
    <row r="775">
      <c r="D775" s="160"/>
    </row>
    <row r="776">
      <c r="D776" s="160"/>
    </row>
    <row r="777">
      <c r="D777" s="160"/>
    </row>
    <row r="778">
      <c r="D778" s="160"/>
    </row>
    <row r="779">
      <c r="D779" s="160"/>
    </row>
    <row r="780">
      <c r="D780" s="160"/>
    </row>
    <row r="781">
      <c r="D781" s="160"/>
    </row>
    <row r="782">
      <c r="D782" s="160"/>
    </row>
    <row r="783">
      <c r="D783" s="160"/>
    </row>
    <row r="784">
      <c r="D784" s="160"/>
    </row>
    <row r="785">
      <c r="D785" s="160"/>
    </row>
    <row r="786">
      <c r="D786" s="160"/>
    </row>
    <row r="787">
      <c r="D787" s="160"/>
    </row>
    <row r="788">
      <c r="D788" s="160"/>
    </row>
    <row r="789">
      <c r="D789" s="160"/>
    </row>
    <row r="790">
      <c r="D790" s="160"/>
    </row>
    <row r="791">
      <c r="D791" s="160"/>
    </row>
    <row r="792">
      <c r="D792" s="160"/>
    </row>
    <row r="793">
      <c r="D793" s="160"/>
    </row>
    <row r="794">
      <c r="D794" s="160"/>
    </row>
    <row r="795">
      <c r="D795" s="160"/>
    </row>
    <row r="796">
      <c r="D796" s="160"/>
    </row>
    <row r="797">
      <c r="D797" s="160"/>
    </row>
    <row r="798">
      <c r="D798" s="160"/>
    </row>
    <row r="799">
      <c r="D799" s="160"/>
    </row>
    <row r="800">
      <c r="D800" s="160"/>
    </row>
    <row r="801">
      <c r="D801" s="160"/>
    </row>
    <row r="802">
      <c r="D802" s="160"/>
    </row>
    <row r="803">
      <c r="D803" s="160"/>
    </row>
    <row r="804">
      <c r="D804" s="160"/>
    </row>
    <row r="805">
      <c r="D805" s="160"/>
    </row>
    <row r="806">
      <c r="D806" s="160"/>
    </row>
    <row r="807">
      <c r="D807" s="160"/>
    </row>
    <row r="808">
      <c r="D808" s="160"/>
    </row>
    <row r="809">
      <c r="D809" s="160"/>
    </row>
    <row r="810">
      <c r="D810" s="160"/>
    </row>
    <row r="811">
      <c r="D811" s="160"/>
    </row>
    <row r="812">
      <c r="D812" s="160"/>
    </row>
    <row r="813">
      <c r="D813" s="160"/>
    </row>
    <row r="814">
      <c r="D814" s="160"/>
    </row>
    <row r="815">
      <c r="D815" s="160"/>
    </row>
    <row r="816">
      <c r="D816" s="160"/>
    </row>
    <row r="817">
      <c r="D817" s="160"/>
    </row>
    <row r="818">
      <c r="D818" s="160"/>
    </row>
    <row r="819">
      <c r="D819" s="160"/>
    </row>
    <row r="820">
      <c r="D820" s="160"/>
    </row>
    <row r="821">
      <c r="D821" s="160"/>
    </row>
    <row r="822">
      <c r="D822" s="160"/>
    </row>
    <row r="823">
      <c r="D823" s="160"/>
    </row>
    <row r="824">
      <c r="D824" s="160"/>
    </row>
    <row r="825">
      <c r="D825" s="160"/>
    </row>
    <row r="826">
      <c r="D826" s="160"/>
    </row>
    <row r="827">
      <c r="D827" s="160"/>
    </row>
    <row r="828">
      <c r="D828" s="160"/>
    </row>
    <row r="829">
      <c r="D829" s="160"/>
    </row>
    <row r="830">
      <c r="D830" s="160"/>
    </row>
    <row r="831">
      <c r="D831" s="160"/>
    </row>
    <row r="832">
      <c r="D832" s="160"/>
    </row>
    <row r="833">
      <c r="D833" s="160"/>
    </row>
    <row r="834">
      <c r="D834" s="160"/>
    </row>
    <row r="835">
      <c r="D835" s="160"/>
    </row>
    <row r="836">
      <c r="D836" s="160"/>
    </row>
    <row r="837">
      <c r="D837" s="160"/>
    </row>
    <row r="838">
      <c r="D838" s="160"/>
    </row>
    <row r="839">
      <c r="D839" s="160"/>
    </row>
    <row r="840">
      <c r="D840" s="160"/>
    </row>
    <row r="841">
      <c r="D841" s="160"/>
    </row>
    <row r="842">
      <c r="D842" s="160"/>
    </row>
    <row r="843">
      <c r="D843" s="160"/>
    </row>
    <row r="844">
      <c r="D844" s="160"/>
    </row>
    <row r="845">
      <c r="D845" s="160"/>
    </row>
    <row r="846">
      <c r="D846" s="160"/>
    </row>
    <row r="847">
      <c r="D847" s="160"/>
    </row>
    <row r="848">
      <c r="D848" s="160"/>
    </row>
    <row r="849">
      <c r="D849" s="160"/>
    </row>
    <row r="850">
      <c r="D850" s="160"/>
    </row>
    <row r="851">
      <c r="D851" s="160"/>
    </row>
    <row r="852">
      <c r="D852" s="160"/>
    </row>
    <row r="853">
      <c r="D853" s="160"/>
    </row>
    <row r="854">
      <c r="D854" s="160"/>
    </row>
    <row r="855">
      <c r="D855" s="160"/>
    </row>
    <row r="856">
      <c r="D856" s="160"/>
    </row>
    <row r="857">
      <c r="D857" s="160"/>
    </row>
    <row r="858">
      <c r="D858" s="160"/>
    </row>
    <row r="859">
      <c r="D859" s="160"/>
    </row>
    <row r="860">
      <c r="D860" s="160"/>
    </row>
    <row r="861">
      <c r="D861" s="160"/>
    </row>
    <row r="862">
      <c r="D862" s="160"/>
    </row>
    <row r="863">
      <c r="D863" s="160"/>
    </row>
    <row r="864">
      <c r="D864" s="160"/>
    </row>
    <row r="865">
      <c r="D865" s="160"/>
    </row>
    <row r="866">
      <c r="D866" s="160"/>
    </row>
    <row r="867">
      <c r="D867" s="160"/>
    </row>
    <row r="868">
      <c r="D868" s="160"/>
    </row>
    <row r="869">
      <c r="D869" s="160"/>
    </row>
    <row r="870">
      <c r="D870" s="160"/>
    </row>
    <row r="871">
      <c r="D871" s="160"/>
    </row>
    <row r="872">
      <c r="D872" s="160"/>
    </row>
    <row r="873">
      <c r="D873" s="160"/>
    </row>
    <row r="874">
      <c r="D874" s="160"/>
    </row>
    <row r="875">
      <c r="D875" s="160"/>
    </row>
    <row r="876">
      <c r="D876" s="160"/>
    </row>
    <row r="877">
      <c r="D877" s="160"/>
    </row>
    <row r="878">
      <c r="D878" s="160"/>
    </row>
    <row r="879">
      <c r="D879" s="160"/>
    </row>
    <row r="880">
      <c r="D880" s="160"/>
    </row>
    <row r="881">
      <c r="D881" s="160"/>
    </row>
    <row r="882">
      <c r="D882" s="160"/>
    </row>
    <row r="883">
      <c r="D883" s="160"/>
    </row>
    <row r="884">
      <c r="D884" s="160"/>
    </row>
    <row r="885">
      <c r="D885" s="160"/>
    </row>
    <row r="886">
      <c r="D886" s="160"/>
    </row>
    <row r="887">
      <c r="D887" s="160"/>
    </row>
    <row r="888">
      <c r="D888" s="160"/>
    </row>
    <row r="889">
      <c r="D889" s="160"/>
    </row>
    <row r="890">
      <c r="D890" s="160"/>
    </row>
    <row r="891">
      <c r="D891" s="160"/>
    </row>
    <row r="892">
      <c r="D892" s="160"/>
    </row>
    <row r="893">
      <c r="D893" s="160"/>
    </row>
    <row r="894">
      <c r="D894" s="160"/>
    </row>
    <row r="895">
      <c r="D895" s="160"/>
    </row>
    <row r="896">
      <c r="D896" s="160"/>
    </row>
    <row r="897">
      <c r="D897" s="160"/>
    </row>
    <row r="898">
      <c r="D898" s="160"/>
    </row>
    <row r="899">
      <c r="D899" s="160"/>
    </row>
    <row r="900">
      <c r="D900" s="160"/>
    </row>
    <row r="901">
      <c r="D901" s="160"/>
    </row>
    <row r="902">
      <c r="D902" s="160"/>
    </row>
    <row r="903">
      <c r="D903" s="160"/>
    </row>
    <row r="904">
      <c r="D904" s="160"/>
    </row>
    <row r="905">
      <c r="D905" s="160"/>
    </row>
    <row r="906">
      <c r="D906" s="160"/>
    </row>
    <row r="907">
      <c r="D907" s="160"/>
    </row>
    <row r="908">
      <c r="D908" s="160"/>
    </row>
    <row r="909">
      <c r="D909" s="160"/>
    </row>
    <row r="910">
      <c r="D910" s="160"/>
    </row>
    <row r="911">
      <c r="D911" s="160"/>
    </row>
    <row r="912">
      <c r="D912" s="160"/>
    </row>
    <row r="913">
      <c r="D913" s="160"/>
    </row>
    <row r="914">
      <c r="D914" s="160"/>
    </row>
    <row r="915">
      <c r="D915" s="160"/>
    </row>
    <row r="916">
      <c r="D916" s="160"/>
    </row>
    <row r="917">
      <c r="D917" s="160"/>
    </row>
    <row r="918">
      <c r="D918" s="160"/>
    </row>
    <row r="919">
      <c r="D919" s="160"/>
    </row>
    <row r="920">
      <c r="D920" s="160"/>
    </row>
    <row r="921">
      <c r="D921" s="160"/>
    </row>
    <row r="922">
      <c r="D922" s="160"/>
    </row>
    <row r="923">
      <c r="D923" s="160"/>
    </row>
    <row r="924">
      <c r="D924" s="160"/>
    </row>
    <row r="925">
      <c r="D925" s="160"/>
    </row>
    <row r="926">
      <c r="D926" s="160"/>
    </row>
    <row r="927">
      <c r="D927" s="160"/>
    </row>
    <row r="928">
      <c r="D928" s="160"/>
    </row>
    <row r="929">
      <c r="D929" s="160"/>
    </row>
    <row r="930">
      <c r="D930" s="160"/>
    </row>
    <row r="931">
      <c r="D931" s="160"/>
    </row>
    <row r="932">
      <c r="D932" s="160"/>
    </row>
    <row r="933">
      <c r="D933" s="160"/>
    </row>
    <row r="934">
      <c r="D934" s="160"/>
    </row>
    <row r="935">
      <c r="D935" s="160"/>
    </row>
    <row r="936">
      <c r="D936" s="160"/>
    </row>
    <row r="937">
      <c r="D937" s="160"/>
    </row>
    <row r="938">
      <c r="D938" s="160"/>
    </row>
    <row r="939">
      <c r="D939" s="160"/>
    </row>
    <row r="940">
      <c r="D940" s="160"/>
    </row>
    <row r="941">
      <c r="D941" s="160"/>
    </row>
    <row r="942">
      <c r="D942" s="160"/>
    </row>
    <row r="943">
      <c r="D943" s="160"/>
    </row>
    <row r="944">
      <c r="D944" s="160"/>
    </row>
    <row r="945">
      <c r="D945" s="160"/>
    </row>
    <row r="946">
      <c r="D946" s="160"/>
    </row>
    <row r="947">
      <c r="D947" s="160"/>
    </row>
    <row r="948">
      <c r="D948" s="160"/>
    </row>
    <row r="949">
      <c r="D949" s="160"/>
    </row>
    <row r="950">
      <c r="D950" s="160"/>
    </row>
    <row r="951">
      <c r="D951" s="160"/>
    </row>
    <row r="952">
      <c r="D952" s="160"/>
    </row>
    <row r="953">
      <c r="D953" s="160"/>
    </row>
    <row r="954">
      <c r="D954" s="160"/>
    </row>
    <row r="955">
      <c r="D955" s="160"/>
    </row>
    <row r="956">
      <c r="D956" s="160"/>
    </row>
    <row r="957">
      <c r="D957" s="160"/>
    </row>
    <row r="958">
      <c r="D958" s="160"/>
    </row>
    <row r="959">
      <c r="D959" s="160"/>
    </row>
    <row r="960">
      <c r="D960" s="160"/>
    </row>
    <row r="961">
      <c r="D961" s="160"/>
    </row>
    <row r="962">
      <c r="D962" s="160"/>
    </row>
    <row r="963">
      <c r="D963" s="160"/>
    </row>
    <row r="964">
      <c r="D964" s="160"/>
    </row>
    <row r="965">
      <c r="D965" s="160"/>
    </row>
    <row r="966">
      <c r="D966" s="160"/>
    </row>
    <row r="967">
      <c r="D967" s="160"/>
    </row>
    <row r="968">
      <c r="D968" s="160"/>
    </row>
    <row r="969">
      <c r="D969" s="160"/>
    </row>
    <row r="970">
      <c r="D970" s="160"/>
    </row>
    <row r="971">
      <c r="D971" s="160"/>
    </row>
    <row r="972">
      <c r="D972" s="160"/>
    </row>
    <row r="973">
      <c r="D973" s="160"/>
    </row>
    <row r="974">
      <c r="D974" s="160"/>
    </row>
    <row r="975">
      <c r="D975" s="160"/>
    </row>
    <row r="976">
      <c r="D976" s="160"/>
    </row>
    <row r="977">
      <c r="D977" s="160"/>
    </row>
    <row r="978">
      <c r="D978" s="160"/>
    </row>
    <row r="979">
      <c r="D979" s="160"/>
    </row>
    <row r="980">
      <c r="D980" s="160"/>
    </row>
    <row r="981">
      <c r="D981" s="160"/>
    </row>
    <row r="982">
      <c r="D982" s="160"/>
    </row>
    <row r="983">
      <c r="D983" s="160"/>
    </row>
    <row r="984">
      <c r="D984" s="160"/>
    </row>
    <row r="985">
      <c r="D985" s="160"/>
    </row>
    <row r="986">
      <c r="D986" s="160"/>
    </row>
    <row r="987">
      <c r="D987" s="160"/>
    </row>
    <row r="988">
      <c r="D988" s="160"/>
    </row>
    <row r="989">
      <c r="D989" s="160"/>
    </row>
    <row r="990">
      <c r="D990" s="160"/>
    </row>
    <row r="991">
      <c r="D991" s="160"/>
    </row>
    <row r="992">
      <c r="D992" s="160"/>
    </row>
    <row r="993">
      <c r="D993" s="160"/>
    </row>
    <row r="994">
      <c r="D994" s="160"/>
    </row>
    <row r="995">
      <c r="D995" s="160"/>
    </row>
    <row r="996">
      <c r="D996" s="160"/>
    </row>
    <row r="997">
      <c r="D997" s="160"/>
    </row>
    <row r="998">
      <c r="D998" s="160"/>
    </row>
    <row r="999">
      <c r="D999" s="160"/>
    </row>
    <row r="1000">
      <c r="D1000" s="160"/>
    </row>
    <row r="1001">
      <c r="D1001" s="160"/>
    </row>
  </sheetData>
  <dataValidations>
    <dataValidation type="list" allowBlank="1" showErrorMessage="1" sqref="S1:S89">
      <formula1>"Released,Ongoing,Pending"</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3" max="3" width="18.75"/>
    <col customWidth="1" min="4" max="4" width="47.88"/>
    <col customWidth="1" min="5" max="5" width="53.25"/>
    <col customWidth="1" min="6" max="6" width="14.25"/>
    <col customWidth="1" min="7" max="7" width="70.38"/>
    <col customWidth="1" min="8" max="8" width="62.88"/>
    <col customWidth="1" min="9" max="9" width="22.63"/>
    <col customWidth="1" min="10" max="10" width="15.25"/>
    <col customWidth="1" min="12" max="12" width="17.0"/>
    <col customWidth="1" min="13" max="13" width="16.13"/>
    <col customWidth="1" min="14" max="14" width="13.38"/>
    <col customWidth="1" min="15" max="15" width="16.63"/>
    <col customWidth="1" min="16" max="16" width="24.75"/>
    <col customWidth="1" min="17" max="17" width="18.63"/>
    <col customWidth="1" min="18" max="18" width="21.38"/>
  </cols>
  <sheetData>
    <row r="1">
      <c r="A1" s="161" t="s">
        <v>1206</v>
      </c>
      <c r="B1" s="42" t="s">
        <v>1</v>
      </c>
      <c r="C1" s="42" t="s">
        <v>2</v>
      </c>
      <c r="D1" s="162" t="s">
        <v>3</v>
      </c>
      <c r="E1" s="42" t="s">
        <v>4</v>
      </c>
      <c r="F1" s="43" t="s">
        <v>336</v>
      </c>
      <c r="G1" s="42" t="s">
        <v>5</v>
      </c>
      <c r="H1" s="43" t="s">
        <v>838</v>
      </c>
      <c r="I1" s="43" t="s">
        <v>34</v>
      </c>
      <c r="J1" s="42" t="s">
        <v>7</v>
      </c>
      <c r="K1" s="42" t="s">
        <v>35</v>
      </c>
      <c r="L1" s="163" t="s">
        <v>9</v>
      </c>
      <c r="M1" s="43" t="s">
        <v>1026</v>
      </c>
      <c r="N1" s="163" t="s">
        <v>246</v>
      </c>
      <c r="O1" s="43" t="s">
        <v>337</v>
      </c>
      <c r="P1" s="42" t="s">
        <v>12</v>
      </c>
      <c r="Q1" s="43" t="s">
        <v>338</v>
      </c>
      <c r="R1" s="42" t="s">
        <v>270</v>
      </c>
      <c r="S1" s="147" t="s">
        <v>15</v>
      </c>
    </row>
    <row r="2">
      <c r="A2" s="164">
        <v>1.0</v>
      </c>
      <c r="B2" s="165" t="s">
        <v>1207</v>
      </c>
      <c r="C2" s="165"/>
      <c r="D2" s="165"/>
      <c r="E2" s="166" t="s">
        <v>1208</v>
      </c>
      <c r="F2" s="167"/>
      <c r="G2" s="168" t="s">
        <v>249</v>
      </c>
      <c r="H2" s="169" t="s">
        <v>40</v>
      </c>
      <c r="I2" s="167" t="s">
        <v>126</v>
      </c>
      <c r="J2" s="168" t="s">
        <v>571</v>
      </c>
      <c r="K2" s="170"/>
      <c r="L2" s="171">
        <v>46085.0</v>
      </c>
      <c r="M2" s="172">
        <f t="shared" ref="M2:M83" si="1">L2+11</f>
        <v>46096</v>
      </c>
      <c r="N2" s="173">
        <f t="shared" ref="N2:N83" si="2">L2+19</f>
        <v>46104</v>
      </c>
      <c r="O2" s="174">
        <v>46098.0</v>
      </c>
      <c r="P2" s="175">
        <v>46114.0</v>
      </c>
      <c r="Q2" s="170"/>
      <c r="R2" s="170"/>
      <c r="S2" s="21" t="s">
        <v>23</v>
      </c>
    </row>
    <row r="3">
      <c r="A3" s="164">
        <v>2.0</v>
      </c>
      <c r="B3" s="165" t="s">
        <v>1209</v>
      </c>
      <c r="C3" s="165"/>
      <c r="D3" s="165"/>
      <c r="E3" s="166" t="s">
        <v>1210</v>
      </c>
      <c r="F3" s="170"/>
      <c r="G3" s="164" t="s">
        <v>249</v>
      </c>
      <c r="H3" s="169" t="s">
        <v>40</v>
      </c>
      <c r="I3" s="167" t="s">
        <v>126</v>
      </c>
      <c r="J3" s="164" t="s">
        <v>1211</v>
      </c>
      <c r="K3" s="170"/>
      <c r="L3" s="171">
        <v>46085.0</v>
      </c>
      <c r="M3" s="172">
        <f t="shared" si="1"/>
        <v>46096</v>
      </c>
      <c r="N3" s="173">
        <f t="shared" si="2"/>
        <v>46104</v>
      </c>
      <c r="O3" s="174">
        <v>46098.0</v>
      </c>
      <c r="P3" s="175">
        <v>46114.0</v>
      </c>
      <c r="Q3" s="170"/>
      <c r="R3" s="170"/>
      <c r="S3" s="21" t="s">
        <v>23</v>
      </c>
    </row>
    <row r="4">
      <c r="A4" s="164">
        <v>3.0</v>
      </c>
      <c r="B4" s="165" t="s">
        <v>1212</v>
      </c>
      <c r="C4" s="165"/>
      <c r="D4" s="165"/>
      <c r="E4" s="166" t="s">
        <v>1213</v>
      </c>
      <c r="F4" s="170"/>
      <c r="G4" s="164" t="s">
        <v>249</v>
      </c>
      <c r="H4" s="169" t="s">
        <v>40</v>
      </c>
      <c r="I4" s="167" t="s">
        <v>126</v>
      </c>
      <c r="J4" s="164" t="s">
        <v>1211</v>
      </c>
      <c r="K4" s="170"/>
      <c r="L4" s="171">
        <v>46085.0</v>
      </c>
      <c r="M4" s="172">
        <f t="shared" si="1"/>
        <v>46096</v>
      </c>
      <c r="N4" s="173">
        <f t="shared" si="2"/>
        <v>46104</v>
      </c>
      <c r="O4" s="174">
        <v>46098.0</v>
      </c>
      <c r="P4" s="175">
        <v>46114.0</v>
      </c>
      <c r="Q4" s="170"/>
      <c r="R4" s="170"/>
      <c r="S4" s="21" t="s">
        <v>23</v>
      </c>
    </row>
    <row r="5">
      <c r="A5" s="164">
        <v>4.0</v>
      </c>
      <c r="B5" s="165" t="s">
        <v>1214</v>
      </c>
      <c r="C5" s="165"/>
      <c r="D5" s="165"/>
      <c r="E5" s="166" t="s">
        <v>1215</v>
      </c>
      <c r="F5" s="170"/>
      <c r="G5" s="164" t="s">
        <v>249</v>
      </c>
      <c r="H5" s="169" t="s">
        <v>40</v>
      </c>
      <c r="I5" s="167" t="s">
        <v>126</v>
      </c>
      <c r="J5" s="164" t="s">
        <v>571</v>
      </c>
      <c r="K5" s="170"/>
      <c r="L5" s="171">
        <v>46085.0</v>
      </c>
      <c r="M5" s="172">
        <f t="shared" si="1"/>
        <v>46096</v>
      </c>
      <c r="N5" s="173">
        <f t="shared" si="2"/>
        <v>46104</v>
      </c>
      <c r="O5" s="174">
        <v>46098.0</v>
      </c>
      <c r="P5" s="175">
        <v>46114.0</v>
      </c>
      <c r="Q5" s="170"/>
      <c r="R5" s="170"/>
      <c r="S5" s="21" t="s">
        <v>23</v>
      </c>
    </row>
    <row r="6">
      <c r="A6" s="164">
        <v>5.0</v>
      </c>
      <c r="B6" s="165" t="s">
        <v>1216</v>
      </c>
      <c r="C6" s="165"/>
      <c r="D6" s="165"/>
      <c r="E6" s="166" t="s">
        <v>1217</v>
      </c>
      <c r="F6" s="170"/>
      <c r="G6" s="164" t="s">
        <v>249</v>
      </c>
      <c r="H6" s="169" t="s">
        <v>40</v>
      </c>
      <c r="I6" s="167" t="s">
        <v>126</v>
      </c>
      <c r="J6" s="164" t="s">
        <v>571</v>
      </c>
      <c r="K6" s="170"/>
      <c r="L6" s="171">
        <v>46085.0</v>
      </c>
      <c r="M6" s="172">
        <f t="shared" si="1"/>
        <v>46096</v>
      </c>
      <c r="N6" s="173">
        <f t="shared" si="2"/>
        <v>46104</v>
      </c>
      <c r="O6" s="174">
        <v>46098.0</v>
      </c>
      <c r="P6" s="175">
        <v>46114.0</v>
      </c>
      <c r="Q6" s="170"/>
      <c r="R6" s="170"/>
      <c r="S6" s="21" t="s">
        <v>23</v>
      </c>
    </row>
    <row r="7">
      <c r="A7" s="164">
        <v>6.0</v>
      </c>
      <c r="B7" s="167"/>
      <c r="C7" s="167"/>
      <c r="D7" s="166" t="s">
        <v>1218</v>
      </c>
      <c r="E7" s="167" t="s">
        <v>1219</v>
      </c>
      <c r="F7" s="170"/>
      <c r="G7" s="170"/>
      <c r="H7" s="169" t="s">
        <v>40</v>
      </c>
      <c r="I7" s="164" t="s">
        <v>1220</v>
      </c>
      <c r="J7" s="164" t="s">
        <v>571</v>
      </c>
      <c r="K7" s="170"/>
      <c r="L7" s="171">
        <v>46085.0</v>
      </c>
      <c r="M7" s="172">
        <f t="shared" si="1"/>
        <v>46096</v>
      </c>
      <c r="N7" s="173">
        <f t="shared" si="2"/>
        <v>46104</v>
      </c>
      <c r="O7" s="174">
        <v>46099.0</v>
      </c>
      <c r="P7" s="175">
        <v>46114.0</v>
      </c>
      <c r="Q7" s="170"/>
      <c r="R7" s="170"/>
      <c r="S7" s="21" t="s">
        <v>23</v>
      </c>
    </row>
    <row r="8">
      <c r="A8" s="164">
        <v>7.0</v>
      </c>
      <c r="B8" s="167"/>
      <c r="C8" s="167"/>
      <c r="D8" s="166" t="s">
        <v>1218</v>
      </c>
      <c r="E8" s="167" t="s">
        <v>1221</v>
      </c>
      <c r="F8" s="170"/>
      <c r="G8" s="170"/>
      <c r="H8" s="169" t="s">
        <v>40</v>
      </c>
      <c r="I8" s="164" t="s">
        <v>1220</v>
      </c>
      <c r="J8" s="164" t="s">
        <v>571</v>
      </c>
      <c r="K8" s="170"/>
      <c r="L8" s="171">
        <v>46085.0</v>
      </c>
      <c r="M8" s="172">
        <f t="shared" si="1"/>
        <v>46096</v>
      </c>
      <c r="N8" s="173">
        <f t="shared" si="2"/>
        <v>46104</v>
      </c>
      <c r="O8" s="174">
        <v>46099.0</v>
      </c>
      <c r="P8" s="175">
        <v>46114.0</v>
      </c>
      <c r="Q8" s="170"/>
      <c r="R8" s="170"/>
      <c r="S8" s="21" t="s">
        <v>23</v>
      </c>
    </row>
    <row r="9">
      <c r="A9" s="164">
        <v>8.0</v>
      </c>
      <c r="B9" s="167"/>
      <c r="C9" s="167"/>
      <c r="D9" s="166" t="s">
        <v>1218</v>
      </c>
      <c r="E9" s="167" t="s">
        <v>1222</v>
      </c>
      <c r="F9" s="170"/>
      <c r="G9" s="170"/>
      <c r="H9" s="169" t="s">
        <v>40</v>
      </c>
      <c r="I9" s="164" t="s">
        <v>1220</v>
      </c>
      <c r="J9" s="164" t="s">
        <v>571</v>
      </c>
      <c r="K9" s="170"/>
      <c r="L9" s="171">
        <v>46085.0</v>
      </c>
      <c r="M9" s="172">
        <f t="shared" si="1"/>
        <v>46096</v>
      </c>
      <c r="N9" s="173">
        <f t="shared" si="2"/>
        <v>46104</v>
      </c>
      <c r="O9" s="174">
        <v>46099.0</v>
      </c>
      <c r="P9" s="175">
        <v>46114.0</v>
      </c>
      <c r="Q9" s="170"/>
      <c r="R9" s="170"/>
      <c r="S9" s="21" t="s">
        <v>23</v>
      </c>
    </row>
    <row r="10">
      <c r="A10" s="164">
        <v>9.0</v>
      </c>
      <c r="B10" s="167"/>
      <c r="C10" s="167"/>
      <c r="D10" s="166" t="s">
        <v>1218</v>
      </c>
      <c r="E10" s="167" t="s">
        <v>1223</v>
      </c>
      <c r="F10" s="170"/>
      <c r="G10" s="170"/>
      <c r="H10" s="169" t="s">
        <v>40</v>
      </c>
      <c r="I10" s="164" t="s">
        <v>1220</v>
      </c>
      <c r="J10" s="164" t="s">
        <v>571</v>
      </c>
      <c r="K10" s="170"/>
      <c r="L10" s="171">
        <v>46085.0</v>
      </c>
      <c r="M10" s="172">
        <f t="shared" si="1"/>
        <v>46096</v>
      </c>
      <c r="N10" s="173">
        <f t="shared" si="2"/>
        <v>46104</v>
      </c>
      <c r="O10" s="174">
        <v>46099.0</v>
      </c>
      <c r="P10" s="175">
        <v>46114.0</v>
      </c>
      <c r="Q10" s="170"/>
      <c r="R10" s="170"/>
      <c r="S10" s="21" t="s">
        <v>23</v>
      </c>
    </row>
    <row r="11">
      <c r="A11" s="164">
        <v>10.0</v>
      </c>
      <c r="B11" s="167"/>
      <c r="C11" s="167"/>
      <c r="D11" s="166" t="s">
        <v>1218</v>
      </c>
      <c r="E11" s="167" t="s">
        <v>1224</v>
      </c>
      <c r="F11" s="170"/>
      <c r="G11" s="170"/>
      <c r="H11" s="169" t="s">
        <v>40</v>
      </c>
      <c r="I11" s="164" t="s">
        <v>1220</v>
      </c>
      <c r="J11" s="164" t="s">
        <v>571</v>
      </c>
      <c r="K11" s="170"/>
      <c r="L11" s="171">
        <v>46085.0</v>
      </c>
      <c r="M11" s="172">
        <f t="shared" si="1"/>
        <v>46096</v>
      </c>
      <c r="N11" s="173">
        <f t="shared" si="2"/>
        <v>46104</v>
      </c>
      <c r="O11" s="174">
        <v>46099.0</v>
      </c>
      <c r="P11" s="175">
        <v>46114.0</v>
      </c>
      <c r="Q11" s="170"/>
      <c r="R11" s="170"/>
      <c r="S11" s="21" t="s">
        <v>23</v>
      </c>
    </row>
    <row r="12">
      <c r="A12" s="164">
        <v>11.0</v>
      </c>
      <c r="B12" s="167"/>
      <c r="C12" s="167"/>
      <c r="D12" s="166" t="s">
        <v>1218</v>
      </c>
      <c r="E12" s="167" t="s">
        <v>1225</v>
      </c>
      <c r="F12" s="170"/>
      <c r="G12" s="170"/>
      <c r="H12" s="169" t="s">
        <v>40</v>
      </c>
      <c r="I12" s="164" t="s">
        <v>1220</v>
      </c>
      <c r="J12" s="164" t="s">
        <v>571</v>
      </c>
      <c r="K12" s="170"/>
      <c r="L12" s="171">
        <v>46085.0</v>
      </c>
      <c r="M12" s="172">
        <f t="shared" si="1"/>
        <v>46096</v>
      </c>
      <c r="N12" s="173">
        <f t="shared" si="2"/>
        <v>46104</v>
      </c>
      <c r="O12" s="174">
        <v>46099.0</v>
      </c>
      <c r="P12" s="175">
        <v>46114.0</v>
      </c>
      <c r="Q12" s="170"/>
      <c r="R12" s="170"/>
      <c r="S12" s="21" t="s">
        <v>23</v>
      </c>
    </row>
    <row r="13">
      <c r="A13" s="164">
        <v>12.0</v>
      </c>
      <c r="B13" s="167"/>
      <c r="C13" s="167"/>
      <c r="D13" s="166" t="s">
        <v>1218</v>
      </c>
      <c r="E13" s="167" t="s">
        <v>1226</v>
      </c>
      <c r="F13" s="170"/>
      <c r="G13" s="170"/>
      <c r="H13" s="169" t="s">
        <v>40</v>
      </c>
      <c r="I13" s="164" t="s">
        <v>1220</v>
      </c>
      <c r="J13" s="164" t="s">
        <v>571</v>
      </c>
      <c r="K13" s="170"/>
      <c r="L13" s="171">
        <v>46085.0</v>
      </c>
      <c r="M13" s="172">
        <f t="shared" si="1"/>
        <v>46096</v>
      </c>
      <c r="N13" s="173">
        <f t="shared" si="2"/>
        <v>46104</v>
      </c>
      <c r="O13" s="174">
        <v>46099.0</v>
      </c>
      <c r="P13" s="175">
        <v>46114.0</v>
      </c>
      <c r="Q13" s="170"/>
      <c r="R13" s="170"/>
      <c r="S13" s="21" t="s">
        <v>23</v>
      </c>
    </row>
    <row r="14">
      <c r="A14" s="164">
        <v>13.0</v>
      </c>
      <c r="B14" s="167"/>
      <c r="C14" s="167"/>
      <c r="D14" s="166" t="s">
        <v>1218</v>
      </c>
      <c r="E14" s="167" t="s">
        <v>1227</v>
      </c>
      <c r="F14" s="170"/>
      <c r="G14" s="170"/>
      <c r="H14" s="169" t="s">
        <v>40</v>
      </c>
      <c r="I14" s="164" t="s">
        <v>1220</v>
      </c>
      <c r="J14" s="164" t="s">
        <v>571</v>
      </c>
      <c r="K14" s="170"/>
      <c r="L14" s="171">
        <v>46085.0</v>
      </c>
      <c r="M14" s="172">
        <f t="shared" si="1"/>
        <v>46096</v>
      </c>
      <c r="N14" s="173">
        <f t="shared" si="2"/>
        <v>46104</v>
      </c>
      <c r="O14" s="174">
        <v>46099.0</v>
      </c>
      <c r="P14" s="175">
        <v>46114.0</v>
      </c>
      <c r="Q14" s="170"/>
      <c r="R14" s="170"/>
      <c r="S14" s="21" t="s">
        <v>23</v>
      </c>
    </row>
    <row r="15">
      <c r="A15" s="164">
        <v>14.0</v>
      </c>
      <c r="B15" s="167" t="s">
        <v>1228</v>
      </c>
      <c r="C15" s="167">
        <v>2.60219181E8</v>
      </c>
      <c r="D15" s="176" t="s">
        <v>1229</v>
      </c>
      <c r="E15" s="167" t="s">
        <v>1230</v>
      </c>
      <c r="F15" s="170"/>
      <c r="G15" s="167" t="s">
        <v>18</v>
      </c>
      <c r="H15" s="167" t="s">
        <v>264</v>
      </c>
      <c r="I15" s="170"/>
      <c r="J15" s="170"/>
      <c r="K15" s="170"/>
      <c r="L15" s="171">
        <v>46087.0</v>
      </c>
      <c r="M15" s="172">
        <f t="shared" si="1"/>
        <v>46098</v>
      </c>
      <c r="N15" s="173">
        <f t="shared" si="2"/>
        <v>46106</v>
      </c>
      <c r="O15" s="174">
        <v>46099.0</v>
      </c>
      <c r="P15" s="175">
        <v>46121.0</v>
      </c>
      <c r="Q15" s="170"/>
      <c r="R15" s="170"/>
      <c r="S15" s="21" t="s">
        <v>23</v>
      </c>
    </row>
    <row r="16">
      <c r="A16" s="164">
        <v>15.0</v>
      </c>
      <c r="B16" s="167" t="s">
        <v>1231</v>
      </c>
      <c r="C16" s="167">
        <v>2.60219203E8</v>
      </c>
      <c r="D16" s="176" t="s">
        <v>1229</v>
      </c>
      <c r="E16" s="167" t="s">
        <v>1232</v>
      </c>
      <c r="F16" s="170"/>
      <c r="G16" s="167" t="s">
        <v>18</v>
      </c>
      <c r="H16" s="167" t="s">
        <v>264</v>
      </c>
      <c r="I16" s="170"/>
      <c r="J16" s="170"/>
      <c r="K16" s="170"/>
      <c r="L16" s="171">
        <v>46087.0</v>
      </c>
      <c r="M16" s="172">
        <f t="shared" si="1"/>
        <v>46098</v>
      </c>
      <c r="N16" s="173">
        <f t="shared" si="2"/>
        <v>46106</v>
      </c>
      <c r="O16" s="174">
        <v>46099.0</v>
      </c>
      <c r="P16" s="175">
        <v>46118.0</v>
      </c>
      <c r="Q16" s="170"/>
      <c r="R16" s="170"/>
      <c r="S16" s="21" t="s">
        <v>23</v>
      </c>
    </row>
    <row r="17">
      <c r="A17" s="164">
        <v>17.0</v>
      </c>
      <c r="B17" s="177" t="s">
        <v>1233</v>
      </c>
      <c r="C17" s="177">
        <v>2.60219764E8</v>
      </c>
      <c r="D17" s="178" t="s">
        <v>1229</v>
      </c>
      <c r="E17" s="177" t="s">
        <v>1234</v>
      </c>
      <c r="F17" s="170"/>
      <c r="G17" s="177" t="s">
        <v>18</v>
      </c>
      <c r="H17" s="177" t="s">
        <v>264</v>
      </c>
      <c r="I17" s="170"/>
      <c r="J17" s="170"/>
      <c r="K17" s="170"/>
      <c r="L17" s="171">
        <v>46087.0</v>
      </c>
      <c r="M17" s="172">
        <f t="shared" si="1"/>
        <v>46098</v>
      </c>
      <c r="N17" s="173">
        <f t="shared" si="2"/>
        <v>46106</v>
      </c>
      <c r="O17" s="164" t="s">
        <v>985</v>
      </c>
      <c r="P17" s="174">
        <v>46100.0</v>
      </c>
      <c r="Q17" s="170"/>
      <c r="R17" s="170"/>
      <c r="S17" s="21" t="s">
        <v>23</v>
      </c>
    </row>
    <row r="18">
      <c r="A18" s="164">
        <v>16.0</v>
      </c>
      <c r="B18" s="167" t="s">
        <v>1235</v>
      </c>
      <c r="C18" s="167">
        <v>2.60219169E8</v>
      </c>
      <c r="D18" s="176" t="s">
        <v>1229</v>
      </c>
      <c r="E18" s="167" t="s">
        <v>1236</v>
      </c>
      <c r="F18" s="170"/>
      <c r="G18" s="167" t="s">
        <v>442</v>
      </c>
      <c r="H18" s="167" t="s">
        <v>264</v>
      </c>
      <c r="I18" s="170"/>
      <c r="J18" s="170"/>
      <c r="K18" s="170"/>
      <c r="L18" s="171">
        <v>46087.0</v>
      </c>
      <c r="M18" s="172">
        <f t="shared" si="1"/>
        <v>46098</v>
      </c>
      <c r="N18" s="173">
        <f t="shared" si="2"/>
        <v>46106</v>
      </c>
      <c r="O18" s="174">
        <v>46099.0</v>
      </c>
      <c r="P18" s="175">
        <v>46118.0</v>
      </c>
      <c r="Q18" s="170"/>
      <c r="R18" s="170"/>
      <c r="S18" s="21" t="s">
        <v>23</v>
      </c>
    </row>
    <row r="19">
      <c r="A19" s="164">
        <v>18.0</v>
      </c>
      <c r="B19" s="167" t="s">
        <v>1237</v>
      </c>
      <c r="C19" s="167">
        <v>2.60219325E8</v>
      </c>
      <c r="D19" s="176" t="s">
        <v>1229</v>
      </c>
      <c r="E19" s="167" t="s">
        <v>1238</v>
      </c>
      <c r="F19" s="170"/>
      <c r="G19" s="167" t="s">
        <v>18</v>
      </c>
      <c r="H19" s="167" t="s">
        <v>264</v>
      </c>
      <c r="I19" s="170"/>
      <c r="J19" s="170"/>
      <c r="K19" s="170"/>
      <c r="L19" s="171">
        <v>46087.0</v>
      </c>
      <c r="M19" s="172">
        <f t="shared" si="1"/>
        <v>46098</v>
      </c>
      <c r="N19" s="173">
        <f t="shared" si="2"/>
        <v>46106</v>
      </c>
      <c r="O19" s="174">
        <v>46099.0</v>
      </c>
      <c r="P19" s="175">
        <v>46116.0</v>
      </c>
      <c r="Q19" s="170"/>
      <c r="R19" s="170"/>
      <c r="S19" s="21" t="s">
        <v>23</v>
      </c>
    </row>
    <row r="20">
      <c r="A20" s="164">
        <v>19.0</v>
      </c>
      <c r="B20" s="167" t="s">
        <v>1239</v>
      </c>
      <c r="C20" s="167">
        <v>2.60219343E8</v>
      </c>
      <c r="D20" s="176" t="s">
        <v>1229</v>
      </c>
      <c r="E20" s="167" t="s">
        <v>1240</v>
      </c>
      <c r="F20" s="170"/>
      <c r="G20" s="167" t="s">
        <v>18</v>
      </c>
      <c r="H20" s="167" t="s">
        <v>264</v>
      </c>
      <c r="I20" s="170"/>
      <c r="J20" s="170"/>
      <c r="K20" s="170"/>
      <c r="L20" s="171">
        <v>46087.0</v>
      </c>
      <c r="M20" s="172">
        <f t="shared" si="1"/>
        <v>46098</v>
      </c>
      <c r="N20" s="173">
        <f t="shared" si="2"/>
        <v>46106</v>
      </c>
      <c r="O20" s="174">
        <v>46099.0</v>
      </c>
      <c r="P20" s="60">
        <v>46118.0</v>
      </c>
      <c r="Q20" s="170"/>
      <c r="R20" s="170"/>
      <c r="S20" s="21" t="s">
        <v>23</v>
      </c>
    </row>
    <row r="21">
      <c r="A21" s="164">
        <v>20.0</v>
      </c>
      <c r="B21" s="167" t="s">
        <v>1241</v>
      </c>
      <c r="C21" s="167">
        <v>2.60219732E8</v>
      </c>
      <c r="D21" s="176" t="s">
        <v>1229</v>
      </c>
      <c r="E21" s="167" t="s">
        <v>1242</v>
      </c>
      <c r="F21" s="170"/>
      <c r="G21" s="167" t="s">
        <v>18</v>
      </c>
      <c r="H21" s="167" t="s">
        <v>264</v>
      </c>
      <c r="I21" s="170"/>
      <c r="J21" s="170"/>
      <c r="K21" s="170"/>
      <c r="L21" s="171">
        <v>46087.0</v>
      </c>
      <c r="M21" s="172">
        <f t="shared" si="1"/>
        <v>46098</v>
      </c>
      <c r="N21" s="173">
        <f t="shared" si="2"/>
        <v>46106</v>
      </c>
      <c r="O21" s="174">
        <v>46099.0</v>
      </c>
      <c r="P21" s="60">
        <v>46118.0</v>
      </c>
      <c r="Q21" s="170"/>
      <c r="R21" s="170"/>
      <c r="S21" s="21" t="s">
        <v>23</v>
      </c>
    </row>
    <row r="22">
      <c r="A22" s="164">
        <v>21.0</v>
      </c>
      <c r="B22" s="167" t="s">
        <v>1243</v>
      </c>
      <c r="C22" s="167">
        <v>2.6021754E8</v>
      </c>
      <c r="D22" s="176" t="s">
        <v>1229</v>
      </c>
      <c r="E22" s="167" t="s">
        <v>1244</v>
      </c>
      <c r="F22" s="170"/>
      <c r="G22" s="167" t="s">
        <v>18</v>
      </c>
      <c r="H22" s="167" t="s">
        <v>40</v>
      </c>
      <c r="I22" s="170"/>
      <c r="J22" s="170"/>
      <c r="K22" s="170"/>
      <c r="L22" s="171">
        <v>46087.0</v>
      </c>
      <c r="M22" s="172">
        <f t="shared" si="1"/>
        <v>46098</v>
      </c>
      <c r="N22" s="173">
        <f t="shared" si="2"/>
        <v>46106</v>
      </c>
      <c r="O22" s="174">
        <v>46099.0</v>
      </c>
      <c r="P22" s="60">
        <v>46119.0</v>
      </c>
      <c r="Q22" s="170"/>
      <c r="R22" s="170"/>
      <c r="S22" s="21" t="s">
        <v>23</v>
      </c>
    </row>
    <row r="23">
      <c r="A23" s="164">
        <v>22.0</v>
      </c>
      <c r="B23" s="167" t="s">
        <v>1245</v>
      </c>
      <c r="C23" s="167">
        <v>2.60217592E8</v>
      </c>
      <c r="D23" s="176" t="s">
        <v>1229</v>
      </c>
      <c r="E23" s="167" t="s">
        <v>1246</v>
      </c>
      <c r="F23" s="170"/>
      <c r="G23" s="167" t="s">
        <v>18</v>
      </c>
      <c r="H23" s="167" t="s">
        <v>40</v>
      </c>
      <c r="I23" s="170"/>
      <c r="J23" s="170"/>
      <c r="K23" s="170"/>
      <c r="L23" s="171">
        <v>46087.0</v>
      </c>
      <c r="M23" s="172">
        <f t="shared" si="1"/>
        <v>46098</v>
      </c>
      <c r="N23" s="173">
        <f t="shared" si="2"/>
        <v>46106</v>
      </c>
      <c r="O23" s="174">
        <v>46099.0</v>
      </c>
      <c r="P23" s="60">
        <v>46119.0</v>
      </c>
      <c r="Q23" s="170"/>
      <c r="R23" s="170"/>
      <c r="S23" s="21" t="s">
        <v>23</v>
      </c>
    </row>
    <row r="24">
      <c r="A24" s="164">
        <v>23.0</v>
      </c>
      <c r="B24" s="167" t="s">
        <v>1247</v>
      </c>
      <c r="C24" s="167">
        <v>2.60217604E8</v>
      </c>
      <c r="D24" s="176" t="s">
        <v>1229</v>
      </c>
      <c r="E24" s="167" t="s">
        <v>1248</v>
      </c>
      <c r="F24" s="170"/>
      <c r="G24" s="167" t="s">
        <v>18</v>
      </c>
      <c r="H24" s="167" t="s">
        <v>40</v>
      </c>
      <c r="I24" s="170"/>
      <c r="J24" s="170"/>
      <c r="K24" s="170"/>
      <c r="L24" s="171">
        <v>46087.0</v>
      </c>
      <c r="M24" s="172">
        <f t="shared" si="1"/>
        <v>46098</v>
      </c>
      <c r="N24" s="173">
        <f t="shared" si="2"/>
        <v>46106</v>
      </c>
      <c r="O24" s="174">
        <v>46099.0</v>
      </c>
      <c r="P24" s="60">
        <v>46119.0</v>
      </c>
      <c r="Q24" s="170"/>
      <c r="R24" s="170"/>
      <c r="S24" s="21" t="s">
        <v>23</v>
      </c>
    </row>
    <row r="25">
      <c r="A25" s="164">
        <v>24.0</v>
      </c>
      <c r="B25" s="167" t="s">
        <v>1249</v>
      </c>
      <c r="C25" s="167">
        <v>2.60217574E8</v>
      </c>
      <c r="D25" s="176" t="s">
        <v>1229</v>
      </c>
      <c r="E25" s="167" t="s">
        <v>1250</v>
      </c>
      <c r="F25" s="170"/>
      <c r="G25" s="167" t="s">
        <v>18</v>
      </c>
      <c r="H25" s="167" t="s">
        <v>40</v>
      </c>
      <c r="I25" s="170"/>
      <c r="J25" s="170"/>
      <c r="K25" s="170"/>
      <c r="L25" s="171">
        <v>46087.0</v>
      </c>
      <c r="M25" s="172">
        <f t="shared" si="1"/>
        <v>46098</v>
      </c>
      <c r="N25" s="173">
        <f t="shared" si="2"/>
        <v>46106</v>
      </c>
      <c r="O25" s="174">
        <v>46099.0</v>
      </c>
      <c r="P25" s="60">
        <v>46119.0</v>
      </c>
      <c r="Q25" s="170"/>
      <c r="R25" s="170"/>
      <c r="S25" s="21" t="s">
        <v>23</v>
      </c>
    </row>
    <row r="26">
      <c r="A26" s="164">
        <v>25.0</v>
      </c>
      <c r="B26" s="167" t="s">
        <v>1251</v>
      </c>
      <c r="C26" s="167">
        <v>2.60217586E8</v>
      </c>
      <c r="D26" s="176" t="s">
        <v>1229</v>
      </c>
      <c r="E26" s="167" t="s">
        <v>1252</v>
      </c>
      <c r="F26" s="170"/>
      <c r="G26" s="167" t="s">
        <v>18</v>
      </c>
      <c r="H26" s="167" t="s">
        <v>40</v>
      </c>
      <c r="I26" s="170"/>
      <c r="J26" s="170"/>
      <c r="K26" s="170"/>
      <c r="L26" s="171">
        <v>46087.0</v>
      </c>
      <c r="M26" s="172">
        <f t="shared" si="1"/>
        <v>46098</v>
      </c>
      <c r="N26" s="173">
        <f t="shared" si="2"/>
        <v>46106</v>
      </c>
      <c r="O26" s="174">
        <v>46099.0</v>
      </c>
      <c r="P26" s="60">
        <v>46119.0</v>
      </c>
      <c r="Q26" s="170"/>
      <c r="R26" s="170"/>
      <c r="S26" s="21" t="s">
        <v>23</v>
      </c>
    </row>
    <row r="27">
      <c r="A27" s="164">
        <v>26.0</v>
      </c>
      <c r="B27" s="167" t="s">
        <v>1253</v>
      </c>
      <c r="C27" s="167">
        <v>2.60233499E8</v>
      </c>
      <c r="D27" s="167" t="s">
        <v>1189</v>
      </c>
      <c r="E27" s="167" t="s">
        <v>1254</v>
      </c>
      <c r="F27" s="170"/>
      <c r="G27" s="167" t="s">
        <v>18</v>
      </c>
      <c r="H27" s="167" t="s">
        <v>264</v>
      </c>
      <c r="I27" s="170"/>
      <c r="J27" s="167" t="s">
        <v>359</v>
      </c>
      <c r="K27" s="170"/>
      <c r="L27" s="171">
        <v>46090.0</v>
      </c>
      <c r="M27" s="172">
        <f t="shared" si="1"/>
        <v>46101</v>
      </c>
      <c r="N27" s="173">
        <f t="shared" si="2"/>
        <v>46109</v>
      </c>
      <c r="O27" s="175">
        <v>46111.0</v>
      </c>
      <c r="P27" s="175">
        <v>46121.0</v>
      </c>
      <c r="Q27" s="170"/>
      <c r="R27" s="170"/>
      <c r="S27" s="21" t="s">
        <v>23</v>
      </c>
    </row>
    <row r="28">
      <c r="A28" s="164">
        <v>27.0</v>
      </c>
      <c r="B28" s="167" t="s">
        <v>1255</v>
      </c>
      <c r="C28" s="167">
        <v>2.60242716E8</v>
      </c>
      <c r="D28" s="176" t="s">
        <v>1256</v>
      </c>
      <c r="E28" s="167" t="s">
        <v>1257</v>
      </c>
      <c r="F28" s="170"/>
      <c r="G28" s="167" t="s">
        <v>18</v>
      </c>
      <c r="H28" s="167" t="s">
        <v>40</v>
      </c>
      <c r="I28" s="170"/>
      <c r="J28" s="167" t="s">
        <v>30</v>
      </c>
      <c r="K28" s="170"/>
      <c r="L28" s="171">
        <v>46092.0</v>
      </c>
      <c r="M28" s="172">
        <f t="shared" si="1"/>
        <v>46103</v>
      </c>
      <c r="N28" s="173">
        <f t="shared" si="2"/>
        <v>46111</v>
      </c>
      <c r="O28" s="174">
        <v>46104.0</v>
      </c>
      <c r="P28" s="174">
        <v>46106.0</v>
      </c>
      <c r="Q28" s="170"/>
      <c r="R28" s="170"/>
      <c r="S28" s="21" t="s">
        <v>23</v>
      </c>
    </row>
    <row r="29">
      <c r="A29" s="164">
        <v>28.0</v>
      </c>
      <c r="B29" s="167" t="s">
        <v>1258</v>
      </c>
      <c r="C29" s="167">
        <v>2.60242726E8</v>
      </c>
      <c r="D29" s="176" t="s">
        <v>1256</v>
      </c>
      <c r="E29" s="167" t="s">
        <v>1259</v>
      </c>
      <c r="F29" s="170"/>
      <c r="G29" s="167" t="s">
        <v>18</v>
      </c>
      <c r="H29" s="167" t="s">
        <v>40</v>
      </c>
      <c r="I29" s="170"/>
      <c r="J29" s="167" t="s">
        <v>30</v>
      </c>
      <c r="K29" s="170"/>
      <c r="L29" s="171">
        <v>46092.0</v>
      </c>
      <c r="M29" s="172">
        <f t="shared" si="1"/>
        <v>46103</v>
      </c>
      <c r="N29" s="173">
        <f t="shared" si="2"/>
        <v>46111</v>
      </c>
      <c r="O29" s="174">
        <v>46104.0</v>
      </c>
      <c r="P29" s="175">
        <v>46121.0</v>
      </c>
      <c r="Q29" s="170"/>
      <c r="R29" s="170"/>
      <c r="S29" s="21" t="s">
        <v>23</v>
      </c>
    </row>
    <row r="30">
      <c r="A30" s="164">
        <v>29.0</v>
      </c>
      <c r="B30" s="167" t="s">
        <v>1260</v>
      </c>
      <c r="C30" s="167">
        <v>2.60242739E8</v>
      </c>
      <c r="D30" s="176" t="s">
        <v>1256</v>
      </c>
      <c r="E30" s="167" t="s">
        <v>1261</v>
      </c>
      <c r="F30" s="170"/>
      <c r="G30" s="167" t="s">
        <v>18</v>
      </c>
      <c r="H30" s="167" t="s">
        <v>40</v>
      </c>
      <c r="I30" s="170"/>
      <c r="J30" s="167" t="s">
        <v>30</v>
      </c>
      <c r="K30" s="170"/>
      <c r="L30" s="171">
        <v>46092.0</v>
      </c>
      <c r="M30" s="172">
        <f t="shared" si="1"/>
        <v>46103</v>
      </c>
      <c r="N30" s="173">
        <f t="shared" si="2"/>
        <v>46111</v>
      </c>
      <c r="O30" s="174">
        <v>46104.0</v>
      </c>
      <c r="P30" s="175">
        <v>46121.0</v>
      </c>
      <c r="Q30" s="170"/>
      <c r="R30" s="170"/>
      <c r="S30" s="21" t="s">
        <v>23</v>
      </c>
    </row>
    <row r="31">
      <c r="A31" s="164">
        <v>30.0</v>
      </c>
      <c r="B31" s="167" t="s">
        <v>1262</v>
      </c>
      <c r="C31" s="167">
        <v>2.60242757E8</v>
      </c>
      <c r="D31" s="176" t="s">
        <v>1256</v>
      </c>
      <c r="E31" s="167" t="s">
        <v>1263</v>
      </c>
      <c r="F31" s="170"/>
      <c r="G31" s="167" t="s">
        <v>18</v>
      </c>
      <c r="H31" s="167" t="s">
        <v>40</v>
      </c>
      <c r="I31" s="170"/>
      <c r="J31" s="167" t="s">
        <v>30</v>
      </c>
      <c r="K31" s="170"/>
      <c r="L31" s="171">
        <v>46092.0</v>
      </c>
      <c r="M31" s="172">
        <f t="shared" si="1"/>
        <v>46103</v>
      </c>
      <c r="N31" s="173">
        <f t="shared" si="2"/>
        <v>46111</v>
      </c>
      <c r="O31" s="174">
        <v>46104.0</v>
      </c>
      <c r="P31" s="175">
        <v>46121.0</v>
      </c>
      <c r="Q31" s="170"/>
      <c r="R31" s="170"/>
      <c r="S31" s="21" t="s">
        <v>23</v>
      </c>
    </row>
    <row r="32">
      <c r="A32" s="164">
        <v>31.0</v>
      </c>
      <c r="B32" s="167" t="s">
        <v>1264</v>
      </c>
      <c r="C32" s="167">
        <v>2.60242775E8</v>
      </c>
      <c r="D32" s="176" t="s">
        <v>1256</v>
      </c>
      <c r="E32" s="167" t="s">
        <v>1265</v>
      </c>
      <c r="F32" s="170"/>
      <c r="G32" s="167" t="s">
        <v>18</v>
      </c>
      <c r="H32" s="167" t="s">
        <v>40</v>
      </c>
      <c r="I32" s="170"/>
      <c r="J32" s="167" t="s">
        <v>30</v>
      </c>
      <c r="K32" s="170"/>
      <c r="L32" s="171">
        <v>46092.0</v>
      </c>
      <c r="M32" s="172">
        <f t="shared" si="1"/>
        <v>46103</v>
      </c>
      <c r="N32" s="173">
        <f t="shared" si="2"/>
        <v>46111</v>
      </c>
      <c r="O32" s="174">
        <v>46104.0</v>
      </c>
      <c r="P32" s="175">
        <v>46121.0</v>
      </c>
      <c r="Q32" s="170"/>
      <c r="R32" s="170"/>
      <c r="S32" s="21" t="s">
        <v>23</v>
      </c>
    </row>
    <row r="33">
      <c r="A33" s="164">
        <v>32.0</v>
      </c>
      <c r="B33" s="167" t="s">
        <v>1266</v>
      </c>
      <c r="C33" s="167">
        <v>2.60242787E8</v>
      </c>
      <c r="D33" s="176" t="s">
        <v>1256</v>
      </c>
      <c r="E33" s="167" t="s">
        <v>1267</v>
      </c>
      <c r="F33" s="170"/>
      <c r="G33" s="167" t="s">
        <v>18</v>
      </c>
      <c r="H33" s="167" t="s">
        <v>40</v>
      </c>
      <c r="I33" s="170"/>
      <c r="J33" s="167" t="s">
        <v>30</v>
      </c>
      <c r="K33" s="170"/>
      <c r="L33" s="171">
        <v>46092.0</v>
      </c>
      <c r="M33" s="172">
        <f t="shared" si="1"/>
        <v>46103</v>
      </c>
      <c r="N33" s="173">
        <f t="shared" si="2"/>
        <v>46111</v>
      </c>
      <c r="O33" s="174">
        <v>46104.0</v>
      </c>
      <c r="P33" s="175">
        <v>46121.0</v>
      </c>
      <c r="Q33" s="170"/>
      <c r="R33" s="170"/>
      <c r="S33" s="21" t="s">
        <v>23</v>
      </c>
    </row>
    <row r="34">
      <c r="A34" s="164">
        <v>33.0</v>
      </c>
      <c r="B34" s="167" t="s">
        <v>1268</v>
      </c>
      <c r="C34" s="167">
        <v>2.60242804E8</v>
      </c>
      <c r="D34" s="176" t="s">
        <v>1256</v>
      </c>
      <c r="E34" s="167" t="s">
        <v>1269</v>
      </c>
      <c r="F34" s="170"/>
      <c r="G34" s="167" t="s">
        <v>18</v>
      </c>
      <c r="H34" s="167" t="s">
        <v>40</v>
      </c>
      <c r="I34" s="170"/>
      <c r="J34" s="167" t="s">
        <v>30</v>
      </c>
      <c r="K34" s="170"/>
      <c r="L34" s="171">
        <v>46092.0</v>
      </c>
      <c r="M34" s="172">
        <f t="shared" si="1"/>
        <v>46103</v>
      </c>
      <c r="N34" s="173">
        <f t="shared" si="2"/>
        <v>46111</v>
      </c>
      <c r="O34" s="174">
        <v>46104.0</v>
      </c>
      <c r="P34" s="175">
        <v>46121.0</v>
      </c>
      <c r="Q34" s="170"/>
      <c r="R34" s="170"/>
      <c r="S34" s="21" t="s">
        <v>23</v>
      </c>
    </row>
    <row r="35">
      <c r="A35" s="164">
        <v>34.0</v>
      </c>
      <c r="B35" s="167" t="s">
        <v>1270</v>
      </c>
      <c r="C35" s="167">
        <v>2.60242819E8</v>
      </c>
      <c r="D35" s="176" t="s">
        <v>1256</v>
      </c>
      <c r="E35" s="167" t="s">
        <v>1271</v>
      </c>
      <c r="F35" s="170"/>
      <c r="G35" s="167" t="s">
        <v>18</v>
      </c>
      <c r="H35" s="167" t="s">
        <v>40</v>
      </c>
      <c r="I35" s="170"/>
      <c r="J35" s="167" t="s">
        <v>30</v>
      </c>
      <c r="K35" s="170"/>
      <c r="L35" s="171">
        <v>46092.0</v>
      </c>
      <c r="M35" s="172">
        <f t="shared" si="1"/>
        <v>46103</v>
      </c>
      <c r="N35" s="173">
        <f t="shared" si="2"/>
        <v>46111</v>
      </c>
      <c r="O35" s="174">
        <v>46104.0</v>
      </c>
      <c r="P35" s="175">
        <v>46121.0</v>
      </c>
      <c r="Q35" s="170"/>
      <c r="R35" s="170"/>
      <c r="S35" s="21" t="s">
        <v>23</v>
      </c>
    </row>
    <row r="36">
      <c r="A36" s="164">
        <v>35.0</v>
      </c>
      <c r="B36" s="167" t="s">
        <v>1272</v>
      </c>
      <c r="C36" s="167">
        <v>2.60242569E8</v>
      </c>
      <c r="D36" s="176" t="s">
        <v>1256</v>
      </c>
      <c r="E36" s="167" t="s">
        <v>1273</v>
      </c>
      <c r="F36" s="170"/>
      <c r="G36" s="167" t="s">
        <v>18</v>
      </c>
      <c r="H36" s="167" t="s">
        <v>1274</v>
      </c>
      <c r="I36" s="170"/>
      <c r="J36" s="167" t="s">
        <v>30</v>
      </c>
      <c r="K36" s="170"/>
      <c r="L36" s="171">
        <v>46092.0</v>
      </c>
      <c r="M36" s="172">
        <f t="shared" si="1"/>
        <v>46103</v>
      </c>
      <c r="N36" s="173">
        <f t="shared" si="2"/>
        <v>46111</v>
      </c>
      <c r="O36" s="174">
        <v>46104.0</v>
      </c>
      <c r="P36" s="175">
        <v>46121.0</v>
      </c>
      <c r="Q36" s="170"/>
      <c r="R36" s="170"/>
      <c r="S36" s="21" t="s">
        <v>23</v>
      </c>
    </row>
    <row r="37">
      <c r="A37" s="164">
        <v>36.0</v>
      </c>
      <c r="B37" s="177" t="s">
        <v>1275</v>
      </c>
      <c r="C37" s="177">
        <v>2.60248396E8</v>
      </c>
      <c r="D37" s="178" t="s">
        <v>1276</v>
      </c>
      <c r="E37" s="177" t="s">
        <v>1277</v>
      </c>
      <c r="F37" s="170"/>
      <c r="G37" s="177" t="s">
        <v>1278</v>
      </c>
      <c r="H37" s="177" t="s">
        <v>264</v>
      </c>
      <c r="I37" s="170"/>
      <c r="J37" s="177" t="s">
        <v>1279</v>
      </c>
      <c r="K37" s="170"/>
      <c r="L37" s="171">
        <v>46093.0</v>
      </c>
      <c r="M37" s="172">
        <f t="shared" si="1"/>
        <v>46104</v>
      </c>
      <c r="N37" s="173">
        <f t="shared" si="2"/>
        <v>46112</v>
      </c>
      <c r="O37" s="164" t="s">
        <v>985</v>
      </c>
      <c r="P37" s="174">
        <v>46111.0</v>
      </c>
      <c r="Q37" s="170"/>
      <c r="R37" s="170"/>
      <c r="S37" s="21" t="s">
        <v>23</v>
      </c>
    </row>
    <row r="38">
      <c r="A38" s="164">
        <v>37.0</v>
      </c>
      <c r="B38" s="177" t="s">
        <v>1280</v>
      </c>
      <c r="C38" s="177">
        <v>2.60248422E8</v>
      </c>
      <c r="D38" s="178" t="s">
        <v>1276</v>
      </c>
      <c r="E38" s="177" t="s">
        <v>1281</v>
      </c>
      <c r="F38" s="170"/>
      <c r="G38" s="177" t="s">
        <v>1278</v>
      </c>
      <c r="H38" s="177" t="s">
        <v>264</v>
      </c>
      <c r="I38" s="170"/>
      <c r="J38" s="177" t="s">
        <v>1279</v>
      </c>
      <c r="K38" s="170"/>
      <c r="L38" s="171">
        <v>46093.0</v>
      </c>
      <c r="M38" s="172">
        <f t="shared" si="1"/>
        <v>46104</v>
      </c>
      <c r="N38" s="173">
        <f t="shared" si="2"/>
        <v>46112</v>
      </c>
      <c r="O38" s="164" t="s">
        <v>985</v>
      </c>
      <c r="P38" s="174">
        <v>46107.0</v>
      </c>
      <c r="Q38" s="170"/>
      <c r="R38" s="170"/>
      <c r="S38" s="21" t="s">
        <v>23</v>
      </c>
    </row>
    <row r="39">
      <c r="A39" s="164">
        <v>38.0</v>
      </c>
      <c r="B39" s="167" t="s">
        <v>1282</v>
      </c>
      <c r="C39" s="167">
        <v>2.60266719E8</v>
      </c>
      <c r="D39" s="167" t="s">
        <v>1283</v>
      </c>
      <c r="E39" s="167" t="s">
        <v>1284</v>
      </c>
      <c r="F39" s="170"/>
      <c r="G39" s="167" t="s">
        <v>18</v>
      </c>
      <c r="H39" s="167" t="s">
        <v>745</v>
      </c>
      <c r="I39" s="170"/>
      <c r="J39" s="167" t="s">
        <v>1285</v>
      </c>
      <c r="K39" s="170"/>
      <c r="L39" s="167" t="s">
        <v>1286</v>
      </c>
      <c r="M39" s="172">
        <f t="shared" si="1"/>
        <v>46106</v>
      </c>
      <c r="N39" s="173">
        <f t="shared" si="2"/>
        <v>46114</v>
      </c>
      <c r="O39" s="175">
        <v>46109.0</v>
      </c>
      <c r="P39" s="179">
        <v>46120.0</v>
      </c>
      <c r="Q39" s="180"/>
      <c r="R39" s="180"/>
      <c r="S39" s="21" t="s">
        <v>23</v>
      </c>
    </row>
    <row r="40">
      <c r="A40" s="164">
        <v>39.0</v>
      </c>
      <c r="B40" s="167" t="s">
        <v>1287</v>
      </c>
      <c r="C40" s="167">
        <v>2.60266689E8</v>
      </c>
      <c r="D40" s="167" t="s">
        <v>1283</v>
      </c>
      <c r="E40" s="167" t="s">
        <v>1288</v>
      </c>
      <c r="F40" s="170"/>
      <c r="G40" s="167" t="s">
        <v>18</v>
      </c>
      <c r="H40" s="181" t="s">
        <v>745</v>
      </c>
      <c r="I40" s="170"/>
      <c r="J40" s="167" t="s">
        <v>1285</v>
      </c>
      <c r="K40" s="170"/>
      <c r="L40" s="167" t="s">
        <v>1286</v>
      </c>
      <c r="M40" s="172">
        <f t="shared" si="1"/>
        <v>46106</v>
      </c>
      <c r="N40" s="173">
        <f t="shared" si="2"/>
        <v>46114</v>
      </c>
      <c r="O40" s="175">
        <v>46109.0</v>
      </c>
      <c r="P40" s="179">
        <v>46120.0</v>
      </c>
      <c r="Q40" s="180"/>
      <c r="R40" s="180"/>
      <c r="S40" s="21" t="s">
        <v>23</v>
      </c>
    </row>
    <row r="41">
      <c r="A41" s="164">
        <v>40.0</v>
      </c>
      <c r="B41" s="167" t="s">
        <v>1289</v>
      </c>
      <c r="C41" s="167">
        <v>2.60266728E8</v>
      </c>
      <c r="D41" s="167" t="s">
        <v>1283</v>
      </c>
      <c r="E41" s="167" t="s">
        <v>1290</v>
      </c>
      <c r="F41" s="170"/>
      <c r="G41" s="167" t="s">
        <v>18</v>
      </c>
      <c r="H41" s="167" t="s">
        <v>745</v>
      </c>
      <c r="I41" s="170"/>
      <c r="J41" s="167" t="s">
        <v>1285</v>
      </c>
      <c r="K41" s="170"/>
      <c r="L41" s="167" t="s">
        <v>1286</v>
      </c>
      <c r="M41" s="172">
        <f t="shared" si="1"/>
        <v>46106</v>
      </c>
      <c r="N41" s="173">
        <f t="shared" si="2"/>
        <v>46114</v>
      </c>
      <c r="O41" s="175">
        <v>46109.0</v>
      </c>
      <c r="P41" s="179">
        <v>46120.0</v>
      </c>
      <c r="Q41" s="180"/>
      <c r="R41" s="180"/>
      <c r="S41" s="21" t="s">
        <v>23</v>
      </c>
    </row>
    <row r="42">
      <c r="A42" s="164">
        <v>41.0</v>
      </c>
      <c r="B42" s="167" t="s">
        <v>1291</v>
      </c>
      <c r="C42" s="167">
        <v>2.60266698E8</v>
      </c>
      <c r="D42" s="167" t="s">
        <v>1283</v>
      </c>
      <c r="E42" s="167" t="s">
        <v>1292</v>
      </c>
      <c r="F42" s="170"/>
      <c r="G42" s="167" t="s">
        <v>18</v>
      </c>
      <c r="H42" s="167" t="s">
        <v>745</v>
      </c>
      <c r="I42" s="170"/>
      <c r="J42" s="167" t="s">
        <v>1285</v>
      </c>
      <c r="K42" s="170"/>
      <c r="L42" s="167" t="s">
        <v>1286</v>
      </c>
      <c r="M42" s="172">
        <f t="shared" si="1"/>
        <v>46106</v>
      </c>
      <c r="N42" s="173">
        <f t="shared" si="2"/>
        <v>46114</v>
      </c>
      <c r="O42" s="175">
        <v>46109.0</v>
      </c>
      <c r="P42" s="179">
        <v>46120.0</v>
      </c>
      <c r="Q42" s="180"/>
      <c r="R42" s="180"/>
      <c r="S42" s="21" t="s">
        <v>23</v>
      </c>
    </row>
    <row r="43">
      <c r="A43" s="164">
        <v>42.0</v>
      </c>
      <c r="B43" s="167" t="s">
        <v>1293</v>
      </c>
      <c r="C43" s="182">
        <v>2.60276555E8</v>
      </c>
      <c r="D43" s="167" t="s">
        <v>1294</v>
      </c>
      <c r="E43" s="182" t="s">
        <v>1295</v>
      </c>
      <c r="F43" s="170"/>
      <c r="G43" s="167" t="s">
        <v>18</v>
      </c>
      <c r="H43" s="167" t="s">
        <v>745</v>
      </c>
      <c r="I43" s="170"/>
      <c r="J43" s="167" t="s">
        <v>1285</v>
      </c>
      <c r="K43" s="170"/>
      <c r="L43" s="167" t="s">
        <v>1286</v>
      </c>
      <c r="M43" s="172">
        <f t="shared" si="1"/>
        <v>46106</v>
      </c>
      <c r="N43" s="173">
        <f t="shared" si="2"/>
        <v>46114</v>
      </c>
      <c r="O43" s="175">
        <v>46109.0</v>
      </c>
      <c r="P43" s="179">
        <v>46120.0</v>
      </c>
      <c r="Q43" s="180"/>
      <c r="R43" s="180"/>
      <c r="S43" s="21" t="s">
        <v>23</v>
      </c>
    </row>
    <row r="44">
      <c r="A44" s="164">
        <v>43.0</v>
      </c>
      <c r="B44" s="167" t="s">
        <v>1296</v>
      </c>
      <c r="C44" s="182">
        <v>2.60268881E8</v>
      </c>
      <c r="D44" s="167" t="s">
        <v>1297</v>
      </c>
      <c r="E44" s="182" t="s">
        <v>1298</v>
      </c>
      <c r="F44" s="170"/>
      <c r="G44" s="167" t="s">
        <v>442</v>
      </c>
      <c r="H44" s="167" t="s">
        <v>264</v>
      </c>
      <c r="I44" s="170"/>
      <c r="J44" s="167" t="s">
        <v>359</v>
      </c>
      <c r="K44" s="170"/>
      <c r="L44" s="183">
        <v>46097.0</v>
      </c>
      <c r="M44" s="172">
        <f t="shared" si="1"/>
        <v>46108</v>
      </c>
      <c r="N44" s="173">
        <f t="shared" si="2"/>
        <v>46116</v>
      </c>
      <c r="O44" s="175">
        <v>46111.0</v>
      </c>
      <c r="P44" s="179">
        <v>46121.0</v>
      </c>
      <c r="Q44" s="180"/>
      <c r="R44" s="180"/>
      <c r="S44" s="21" t="s">
        <v>23</v>
      </c>
    </row>
    <row r="45">
      <c r="A45" s="164">
        <v>44.0</v>
      </c>
      <c r="B45" s="167" t="s">
        <v>1299</v>
      </c>
      <c r="C45" s="182">
        <v>2.60268893E8</v>
      </c>
      <c r="D45" s="167" t="s">
        <v>1300</v>
      </c>
      <c r="E45" s="182" t="s">
        <v>1301</v>
      </c>
      <c r="F45" s="170"/>
      <c r="G45" s="167" t="s">
        <v>18</v>
      </c>
      <c r="H45" s="167" t="s">
        <v>264</v>
      </c>
      <c r="I45" s="170"/>
      <c r="J45" s="167" t="s">
        <v>359</v>
      </c>
      <c r="K45" s="170"/>
      <c r="L45" s="183">
        <v>46097.0</v>
      </c>
      <c r="M45" s="172">
        <f t="shared" si="1"/>
        <v>46108</v>
      </c>
      <c r="N45" s="173">
        <f t="shared" si="2"/>
        <v>46116</v>
      </c>
      <c r="O45" s="175">
        <v>46111.0</v>
      </c>
      <c r="P45" s="179">
        <v>46121.0</v>
      </c>
      <c r="Q45" s="180"/>
      <c r="R45" s="180"/>
      <c r="S45" s="21" t="s">
        <v>23</v>
      </c>
    </row>
    <row r="46">
      <c r="A46" s="164">
        <v>45.0</v>
      </c>
      <c r="B46" s="164">
        <v>45.0</v>
      </c>
      <c r="C46" s="167">
        <v>2.60266617E8</v>
      </c>
      <c r="D46" s="167" t="s">
        <v>709</v>
      </c>
      <c r="E46" s="167" t="s">
        <v>1302</v>
      </c>
      <c r="F46" s="170"/>
      <c r="G46" s="167" t="s">
        <v>442</v>
      </c>
      <c r="H46" s="167" t="s">
        <v>264</v>
      </c>
      <c r="I46" s="170"/>
      <c r="J46" s="167" t="s">
        <v>359</v>
      </c>
      <c r="K46" s="170"/>
      <c r="L46" s="183">
        <v>46097.0</v>
      </c>
      <c r="M46" s="172">
        <f t="shared" si="1"/>
        <v>46108</v>
      </c>
      <c r="N46" s="173">
        <f t="shared" si="2"/>
        <v>46116</v>
      </c>
      <c r="O46" s="174">
        <v>46107.0</v>
      </c>
      <c r="P46" s="179">
        <v>46121.0</v>
      </c>
      <c r="Q46" s="180"/>
      <c r="R46" s="180"/>
      <c r="S46" s="21" t="s">
        <v>23</v>
      </c>
    </row>
    <row r="47">
      <c r="A47" s="164">
        <v>46.0</v>
      </c>
      <c r="B47" s="164">
        <v>46.0</v>
      </c>
      <c r="C47" s="167">
        <v>2.60266667E8</v>
      </c>
      <c r="D47" s="176" t="s">
        <v>1303</v>
      </c>
      <c r="E47" s="167" t="s">
        <v>1304</v>
      </c>
      <c r="F47" s="170"/>
      <c r="G47" s="167" t="s">
        <v>442</v>
      </c>
      <c r="H47" s="167" t="s">
        <v>264</v>
      </c>
      <c r="I47" s="170"/>
      <c r="J47" s="167" t="s">
        <v>359</v>
      </c>
      <c r="K47" s="170"/>
      <c r="L47" s="167" t="s">
        <v>1305</v>
      </c>
      <c r="M47" s="172">
        <f t="shared" si="1"/>
        <v>46107</v>
      </c>
      <c r="N47" s="173">
        <f t="shared" si="2"/>
        <v>46115</v>
      </c>
      <c r="O47" s="174">
        <v>46107.0</v>
      </c>
      <c r="P47" s="179">
        <v>46125.0</v>
      </c>
      <c r="Q47" s="180"/>
      <c r="R47" s="180"/>
      <c r="S47" s="21" t="s">
        <v>23</v>
      </c>
    </row>
    <row r="48">
      <c r="A48" s="164">
        <v>47.0</v>
      </c>
      <c r="B48" s="167" t="s">
        <v>1306</v>
      </c>
      <c r="C48" s="167">
        <v>2.60280031E8</v>
      </c>
      <c r="D48" s="176" t="s">
        <v>1307</v>
      </c>
      <c r="E48" s="167" t="s">
        <v>1308</v>
      </c>
      <c r="F48" s="167"/>
      <c r="G48" s="170"/>
      <c r="H48" s="167"/>
      <c r="I48" s="170"/>
      <c r="J48" s="167" t="s">
        <v>344</v>
      </c>
      <c r="K48" s="170"/>
      <c r="L48" s="167" t="s">
        <v>1309</v>
      </c>
      <c r="M48" s="172">
        <f t="shared" si="1"/>
        <v>46110</v>
      </c>
      <c r="N48" s="173">
        <f t="shared" si="2"/>
        <v>46118</v>
      </c>
      <c r="O48" s="175">
        <v>46114.0</v>
      </c>
      <c r="P48" s="60">
        <v>46126.0</v>
      </c>
      <c r="S48" s="21" t="s">
        <v>23</v>
      </c>
    </row>
    <row r="49">
      <c r="A49" s="164">
        <v>48.0</v>
      </c>
      <c r="B49" s="167" t="s">
        <v>1310</v>
      </c>
      <c r="C49" s="167">
        <v>2.60280041E8</v>
      </c>
      <c r="D49" s="176" t="s">
        <v>987</v>
      </c>
      <c r="E49" s="167" t="s">
        <v>1311</v>
      </c>
      <c r="F49" s="170"/>
      <c r="G49" s="167" t="s">
        <v>18</v>
      </c>
      <c r="H49" s="167" t="s">
        <v>40</v>
      </c>
      <c r="I49" s="170"/>
      <c r="J49" s="167" t="s">
        <v>344</v>
      </c>
      <c r="K49" s="170"/>
      <c r="L49" s="167" t="s">
        <v>1309</v>
      </c>
      <c r="M49" s="172">
        <f t="shared" si="1"/>
        <v>46110</v>
      </c>
      <c r="N49" s="173">
        <f t="shared" si="2"/>
        <v>46118</v>
      </c>
      <c r="O49" s="175">
        <v>46114.0</v>
      </c>
      <c r="P49" s="60">
        <v>46126.0</v>
      </c>
      <c r="S49" s="21" t="s">
        <v>23</v>
      </c>
    </row>
    <row r="50">
      <c r="A50" s="164">
        <v>49.0</v>
      </c>
      <c r="B50" s="167" t="s">
        <v>1312</v>
      </c>
      <c r="C50" s="167">
        <v>2.60280054E8</v>
      </c>
      <c r="D50" s="176" t="s">
        <v>987</v>
      </c>
      <c r="E50" s="167" t="s">
        <v>1313</v>
      </c>
      <c r="F50" s="170"/>
      <c r="G50" s="167" t="s">
        <v>18</v>
      </c>
      <c r="H50" s="167" t="s">
        <v>40</v>
      </c>
      <c r="I50" s="170"/>
      <c r="J50" s="167" t="s">
        <v>344</v>
      </c>
      <c r="K50" s="170"/>
      <c r="L50" s="167" t="s">
        <v>1309</v>
      </c>
      <c r="M50" s="172">
        <f t="shared" si="1"/>
        <v>46110</v>
      </c>
      <c r="N50" s="173">
        <f t="shared" si="2"/>
        <v>46118</v>
      </c>
      <c r="O50" s="175">
        <v>46114.0</v>
      </c>
      <c r="P50" s="60">
        <v>46126.0</v>
      </c>
      <c r="S50" s="21" t="s">
        <v>23</v>
      </c>
    </row>
    <row r="51">
      <c r="A51" s="164">
        <v>50.0</v>
      </c>
      <c r="B51" s="167" t="s">
        <v>1314</v>
      </c>
      <c r="C51" s="167">
        <v>2.60280095E8</v>
      </c>
      <c r="D51" s="176" t="s">
        <v>987</v>
      </c>
      <c r="E51" s="167" t="s">
        <v>1315</v>
      </c>
      <c r="F51" s="170"/>
      <c r="G51" s="167" t="s">
        <v>18</v>
      </c>
      <c r="H51" s="167" t="s">
        <v>40</v>
      </c>
      <c r="I51" s="170"/>
      <c r="J51" s="167" t="s">
        <v>344</v>
      </c>
      <c r="K51" s="170"/>
      <c r="L51" s="167" t="s">
        <v>1309</v>
      </c>
      <c r="M51" s="172">
        <f t="shared" si="1"/>
        <v>46110</v>
      </c>
      <c r="N51" s="173">
        <f t="shared" si="2"/>
        <v>46118</v>
      </c>
      <c r="O51" s="175">
        <v>46114.0</v>
      </c>
      <c r="P51" s="60">
        <v>46126.0</v>
      </c>
      <c r="S51" s="21" t="s">
        <v>23</v>
      </c>
    </row>
    <row r="52">
      <c r="A52" s="164">
        <v>51.0</v>
      </c>
      <c r="B52" s="167" t="s">
        <v>1316</v>
      </c>
      <c r="C52" s="167">
        <v>2.60280108E8</v>
      </c>
      <c r="D52" s="176" t="s">
        <v>987</v>
      </c>
      <c r="E52" s="167" t="s">
        <v>1317</v>
      </c>
      <c r="F52" s="170"/>
      <c r="G52" s="167" t="s">
        <v>18</v>
      </c>
      <c r="H52" s="167" t="s">
        <v>40</v>
      </c>
      <c r="I52" s="170"/>
      <c r="J52" s="167" t="s">
        <v>344</v>
      </c>
      <c r="K52" s="170"/>
      <c r="L52" s="167" t="s">
        <v>1309</v>
      </c>
      <c r="M52" s="172">
        <f t="shared" si="1"/>
        <v>46110</v>
      </c>
      <c r="N52" s="173">
        <f t="shared" si="2"/>
        <v>46118</v>
      </c>
      <c r="O52" s="175">
        <v>46114.0</v>
      </c>
      <c r="P52" s="60">
        <v>46126.0</v>
      </c>
      <c r="S52" s="21" t="s">
        <v>23</v>
      </c>
    </row>
    <row r="53">
      <c r="A53" s="164">
        <v>52.0</v>
      </c>
      <c r="B53" s="167" t="s">
        <v>1318</v>
      </c>
      <c r="C53" s="167">
        <v>2.60280142E8</v>
      </c>
      <c r="D53" s="176" t="s">
        <v>987</v>
      </c>
      <c r="E53" s="167" t="s">
        <v>1319</v>
      </c>
      <c r="F53" s="170"/>
      <c r="G53" s="167" t="s">
        <v>18</v>
      </c>
      <c r="H53" s="167" t="s">
        <v>40</v>
      </c>
      <c r="I53" s="170"/>
      <c r="J53" s="167" t="s">
        <v>344</v>
      </c>
      <c r="K53" s="170"/>
      <c r="L53" s="167" t="s">
        <v>1309</v>
      </c>
      <c r="M53" s="172">
        <f t="shared" si="1"/>
        <v>46110</v>
      </c>
      <c r="N53" s="173">
        <f t="shared" si="2"/>
        <v>46118</v>
      </c>
      <c r="O53" s="175">
        <v>46114.0</v>
      </c>
      <c r="P53" s="60">
        <v>46126.0</v>
      </c>
      <c r="S53" s="21" t="s">
        <v>23</v>
      </c>
    </row>
    <row r="54">
      <c r="A54" s="164">
        <v>53.0</v>
      </c>
      <c r="B54" s="167" t="s">
        <v>1320</v>
      </c>
      <c r="C54" s="167">
        <v>2.60280151E8</v>
      </c>
      <c r="D54" s="176" t="s">
        <v>987</v>
      </c>
      <c r="E54" s="167" t="s">
        <v>1321</v>
      </c>
      <c r="F54" s="170"/>
      <c r="G54" s="167" t="s">
        <v>18</v>
      </c>
      <c r="H54" s="167" t="s">
        <v>40</v>
      </c>
      <c r="I54" s="170"/>
      <c r="J54" s="167" t="s">
        <v>344</v>
      </c>
      <c r="K54" s="170"/>
      <c r="L54" s="167" t="s">
        <v>1309</v>
      </c>
      <c r="M54" s="172">
        <f t="shared" si="1"/>
        <v>46110</v>
      </c>
      <c r="N54" s="173">
        <f t="shared" si="2"/>
        <v>46118</v>
      </c>
      <c r="O54" s="175">
        <v>46114.0</v>
      </c>
      <c r="P54" s="60">
        <v>46126.0</v>
      </c>
      <c r="S54" s="21" t="s">
        <v>23</v>
      </c>
    </row>
    <row r="55">
      <c r="A55" s="164">
        <v>54.0</v>
      </c>
      <c r="B55" s="167" t="s">
        <v>1322</v>
      </c>
      <c r="C55" s="167">
        <v>2.60280161E8</v>
      </c>
      <c r="D55" s="176" t="s">
        <v>987</v>
      </c>
      <c r="E55" s="167" t="s">
        <v>1323</v>
      </c>
      <c r="F55" s="170"/>
      <c r="G55" s="167" t="s">
        <v>18</v>
      </c>
      <c r="H55" s="167" t="s">
        <v>40</v>
      </c>
      <c r="I55" s="170"/>
      <c r="J55" s="167" t="s">
        <v>344</v>
      </c>
      <c r="K55" s="170"/>
      <c r="L55" s="167" t="s">
        <v>1309</v>
      </c>
      <c r="M55" s="172">
        <f t="shared" si="1"/>
        <v>46110</v>
      </c>
      <c r="N55" s="173">
        <f t="shared" si="2"/>
        <v>46118</v>
      </c>
      <c r="O55" s="175">
        <v>46114.0</v>
      </c>
      <c r="P55" s="60">
        <v>46126.0</v>
      </c>
      <c r="S55" s="21" t="s">
        <v>23</v>
      </c>
    </row>
    <row r="56">
      <c r="A56" s="164">
        <v>55.0</v>
      </c>
      <c r="B56" s="167" t="s">
        <v>1324</v>
      </c>
      <c r="C56" s="167">
        <v>2.60280169E8</v>
      </c>
      <c r="D56" s="176" t="s">
        <v>987</v>
      </c>
      <c r="E56" s="167" t="s">
        <v>1325</v>
      </c>
      <c r="F56" s="170"/>
      <c r="G56" s="167" t="s">
        <v>18</v>
      </c>
      <c r="H56" s="167" t="s">
        <v>40</v>
      </c>
      <c r="I56" s="170"/>
      <c r="J56" s="167" t="s">
        <v>344</v>
      </c>
      <c r="K56" s="170"/>
      <c r="L56" s="167" t="s">
        <v>1309</v>
      </c>
      <c r="M56" s="172">
        <f t="shared" si="1"/>
        <v>46110</v>
      </c>
      <c r="N56" s="173">
        <f t="shared" si="2"/>
        <v>46118</v>
      </c>
      <c r="O56" s="175">
        <v>46114.0</v>
      </c>
      <c r="P56" s="60">
        <v>46126.0</v>
      </c>
      <c r="S56" s="21" t="s">
        <v>23</v>
      </c>
    </row>
    <row r="57">
      <c r="A57" s="164">
        <v>56.0</v>
      </c>
      <c r="B57" s="167" t="s">
        <v>1326</v>
      </c>
      <c r="C57" s="167">
        <v>2.60280179E8</v>
      </c>
      <c r="D57" s="176" t="s">
        <v>987</v>
      </c>
      <c r="E57" s="167" t="s">
        <v>1327</v>
      </c>
      <c r="F57" s="170"/>
      <c r="G57" s="167" t="s">
        <v>18</v>
      </c>
      <c r="H57" s="167" t="s">
        <v>40</v>
      </c>
      <c r="I57" s="170"/>
      <c r="J57" s="167" t="s">
        <v>344</v>
      </c>
      <c r="K57" s="170"/>
      <c r="L57" s="167" t="s">
        <v>1309</v>
      </c>
      <c r="M57" s="172">
        <f t="shared" si="1"/>
        <v>46110</v>
      </c>
      <c r="N57" s="173">
        <f t="shared" si="2"/>
        <v>46118</v>
      </c>
      <c r="O57" s="175">
        <v>46114.0</v>
      </c>
      <c r="P57" s="60">
        <v>46126.0</v>
      </c>
      <c r="S57" s="21" t="s">
        <v>23</v>
      </c>
    </row>
    <row r="58">
      <c r="A58" s="164">
        <v>57.0</v>
      </c>
      <c r="B58" s="167" t="s">
        <v>1328</v>
      </c>
      <c r="C58" s="167">
        <v>2.60280186E8</v>
      </c>
      <c r="D58" s="176" t="s">
        <v>987</v>
      </c>
      <c r="E58" s="167" t="s">
        <v>1329</v>
      </c>
      <c r="F58" s="170"/>
      <c r="G58" s="167" t="s">
        <v>18</v>
      </c>
      <c r="H58" s="167" t="s">
        <v>40</v>
      </c>
      <c r="I58" s="170"/>
      <c r="J58" s="167" t="s">
        <v>344</v>
      </c>
      <c r="K58" s="170"/>
      <c r="L58" s="167" t="s">
        <v>1309</v>
      </c>
      <c r="M58" s="172">
        <f t="shared" si="1"/>
        <v>46110</v>
      </c>
      <c r="N58" s="173">
        <f t="shared" si="2"/>
        <v>46118</v>
      </c>
      <c r="O58" s="175">
        <v>46114.0</v>
      </c>
      <c r="P58" s="60">
        <v>46126.0</v>
      </c>
      <c r="S58" s="21" t="s">
        <v>23</v>
      </c>
    </row>
    <row r="59">
      <c r="A59" s="164">
        <v>58.0</v>
      </c>
      <c r="B59" s="167" t="s">
        <v>1330</v>
      </c>
      <c r="C59" s="167">
        <v>2.60280192E8</v>
      </c>
      <c r="D59" s="176" t="s">
        <v>987</v>
      </c>
      <c r="E59" s="167" t="s">
        <v>1331</v>
      </c>
      <c r="F59" s="170"/>
      <c r="G59" s="167" t="s">
        <v>18</v>
      </c>
      <c r="H59" s="167" t="s">
        <v>40</v>
      </c>
      <c r="I59" s="170"/>
      <c r="J59" s="167" t="s">
        <v>344</v>
      </c>
      <c r="K59" s="170"/>
      <c r="L59" s="167" t="s">
        <v>1309</v>
      </c>
      <c r="M59" s="172">
        <f t="shared" si="1"/>
        <v>46110</v>
      </c>
      <c r="N59" s="173">
        <f t="shared" si="2"/>
        <v>46118</v>
      </c>
      <c r="O59" s="175">
        <v>46114.0</v>
      </c>
      <c r="P59" s="60">
        <v>46126.0</v>
      </c>
      <c r="S59" s="21" t="s">
        <v>23</v>
      </c>
    </row>
    <row r="60">
      <c r="A60" s="164">
        <v>59.0</v>
      </c>
      <c r="B60" s="167" t="s">
        <v>1332</v>
      </c>
      <c r="C60" s="167">
        <v>2.60280199E8</v>
      </c>
      <c r="D60" s="176" t="s">
        <v>987</v>
      </c>
      <c r="E60" s="167" t="s">
        <v>1333</v>
      </c>
      <c r="F60" s="170"/>
      <c r="G60" s="167" t="s">
        <v>18</v>
      </c>
      <c r="H60" s="167" t="s">
        <v>1274</v>
      </c>
      <c r="I60" s="170"/>
      <c r="J60" s="167" t="s">
        <v>344</v>
      </c>
      <c r="K60" s="170"/>
      <c r="L60" s="167" t="s">
        <v>1309</v>
      </c>
      <c r="M60" s="172">
        <f t="shared" si="1"/>
        <v>46110</v>
      </c>
      <c r="N60" s="173">
        <f t="shared" si="2"/>
        <v>46118</v>
      </c>
      <c r="O60" s="175">
        <v>46114.0</v>
      </c>
      <c r="P60" s="60">
        <v>46126.0</v>
      </c>
      <c r="S60" s="21" t="s">
        <v>23</v>
      </c>
    </row>
    <row r="61">
      <c r="A61" s="164">
        <v>60.0</v>
      </c>
      <c r="B61" s="167" t="s">
        <v>1334</v>
      </c>
      <c r="C61" s="167">
        <v>2.60291209E8</v>
      </c>
      <c r="D61" s="167" t="s">
        <v>1303</v>
      </c>
      <c r="E61" s="167" t="s">
        <v>1335</v>
      </c>
      <c r="F61" s="170"/>
      <c r="G61" s="167"/>
      <c r="H61" s="167"/>
      <c r="I61" s="170"/>
      <c r="J61" s="167" t="s">
        <v>30</v>
      </c>
      <c r="K61" s="170"/>
      <c r="L61" s="170" t="s">
        <v>1336</v>
      </c>
      <c r="M61" s="172">
        <f t="shared" si="1"/>
        <v>46112</v>
      </c>
      <c r="N61" s="173">
        <f t="shared" si="2"/>
        <v>46120</v>
      </c>
      <c r="O61" s="175">
        <v>46114.0</v>
      </c>
      <c r="P61" s="60">
        <v>46132.0</v>
      </c>
      <c r="S61" s="21" t="s">
        <v>23</v>
      </c>
    </row>
    <row r="62">
      <c r="A62" s="164">
        <v>61.0</v>
      </c>
      <c r="B62" s="167" t="s">
        <v>1337</v>
      </c>
      <c r="C62" s="167">
        <v>2.60291112E8</v>
      </c>
      <c r="D62" s="167" t="s">
        <v>1303</v>
      </c>
      <c r="E62" s="167" t="s">
        <v>1338</v>
      </c>
      <c r="F62" s="170"/>
      <c r="G62" s="167"/>
      <c r="H62" s="167"/>
      <c r="I62" s="170"/>
      <c r="J62" s="167" t="s">
        <v>30</v>
      </c>
      <c r="K62" s="170"/>
      <c r="L62" s="170" t="s">
        <v>1336</v>
      </c>
      <c r="M62" s="172">
        <f t="shared" si="1"/>
        <v>46112</v>
      </c>
      <c r="N62" s="173">
        <f t="shared" si="2"/>
        <v>46120</v>
      </c>
      <c r="O62" s="175">
        <v>46114.0</v>
      </c>
      <c r="P62" s="60">
        <v>46132.0</v>
      </c>
      <c r="S62" s="21" t="s">
        <v>23</v>
      </c>
    </row>
    <row r="63">
      <c r="A63" s="164">
        <v>62.0</v>
      </c>
      <c r="B63" s="167" t="s">
        <v>1339</v>
      </c>
      <c r="C63" s="167">
        <v>2.60291088E8</v>
      </c>
      <c r="D63" s="167" t="s">
        <v>1303</v>
      </c>
      <c r="E63" s="167" t="s">
        <v>1340</v>
      </c>
      <c r="F63" s="170"/>
      <c r="G63" s="167" t="s">
        <v>18</v>
      </c>
      <c r="H63" s="167" t="s">
        <v>40</v>
      </c>
      <c r="I63" s="170"/>
      <c r="J63" s="167" t="s">
        <v>30</v>
      </c>
      <c r="K63" s="170"/>
      <c r="L63" s="170" t="s">
        <v>1336</v>
      </c>
      <c r="M63" s="172">
        <f t="shared" si="1"/>
        <v>46112</v>
      </c>
      <c r="N63" s="173">
        <f t="shared" si="2"/>
        <v>46120</v>
      </c>
      <c r="O63" s="175">
        <v>46114.0</v>
      </c>
      <c r="P63" s="60">
        <v>46132.0</v>
      </c>
      <c r="S63" s="21" t="s">
        <v>23</v>
      </c>
    </row>
    <row r="64">
      <c r="A64" s="164">
        <v>63.0</v>
      </c>
      <c r="B64" s="167" t="s">
        <v>1341</v>
      </c>
      <c r="C64" s="167">
        <v>2.60291102E8</v>
      </c>
      <c r="D64" s="167" t="s">
        <v>1303</v>
      </c>
      <c r="E64" s="167" t="s">
        <v>1342</v>
      </c>
      <c r="F64" s="170"/>
      <c r="G64" s="167" t="s">
        <v>18</v>
      </c>
      <c r="H64" s="167" t="s">
        <v>40</v>
      </c>
      <c r="I64" s="170"/>
      <c r="J64" s="167" t="s">
        <v>30</v>
      </c>
      <c r="K64" s="170"/>
      <c r="L64" s="170" t="s">
        <v>1336</v>
      </c>
      <c r="M64" s="172">
        <f t="shared" si="1"/>
        <v>46112</v>
      </c>
      <c r="N64" s="173">
        <f t="shared" si="2"/>
        <v>46120</v>
      </c>
      <c r="O64" s="175">
        <v>46114.0</v>
      </c>
      <c r="P64" s="60">
        <v>46132.0</v>
      </c>
      <c r="S64" s="21" t="s">
        <v>23</v>
      </c>
    </row>
    <row r="65">
      <c r="A65" s="164">
        <v>64.0</v>
      </c>
      <c r="B65" s="167" t="s">
        <v>1343</v>
      </c>
      <c r="C65" s="167">
        <v>2.60291182E8</v>
      </c>
      <c r="D65" s="167" t="s">
        <v>1303</v>
      </c>
      <c r="E65" s="167" t="s">
        <v>1344</v>
      </c>
      <c r="F65" s="170"/>
      <c r="G65" s="167" t="s">
        <v>18</v>
      </c>
      <c r="H65" s="167" t="s">
        <v>40</v>
      </c>
      <c r="I65" s="170"/>
      <c r="J65" s="167" t="s">
        <v>30</v>
      </c>
      <c r="K65" s="170"/>
      <c r="L65" s="170" t="s">
        <v>1336</v>
      </c>
      <c r="M65" s="172">
        <f t="shared" si="1"/>
        <v>46112</v>
      </c>
      <c r="N65" s="173">
        <f t="shared" si="2"/>
        <v>46120</v>
      </c>
      <c r="O65" s="175">
        <v>46114.0</v>
      </c>
      <c r="P65" s="60">
        <v>46132.0</v>
      </c>
      <c r="S65" s="21" t="s">
        <v>23</v>
      </c>
    </row>
    <row r="66">
      <c r="A66" s="164">
        <v>65.0</v>
      </c>
      <c r="B66" s="167" t="s">
        <v>1345</v>
      </c>
      <c r="C66" s="167">
        <v>2.60291192E8</v>
      </c>
      <c r="D66" s="167" t="s">
        <v>1303</v>
      </c>
      <c r="E66" s="167" t="s">
        <v>1346</v>
      </c>
      <c r="F66" s="170"/>
      <c r="G66" s="167" t="s">
        <v>18</v>
      </c>
      <c r="H66" s="167" t="s">
        <v>40</v>
      </c>
      <c r="I66" s="170"/>
      <c r="J66" s="167" t="s">
        <v>30</v>
      </c>
      <c r="K66" s="170"/>
      <c r="L66" s="170" t="s">
        <v>1336</v>
      </c>
      <c r="M66" s="172">
        <f t="shared" si="1"/>
        <v>46112</v>
      </c>
      <c r="N66" s="173">
        <f t="shared" si="2"/>
        <v>46120</v>
      </c>
      <c r="O66" s="175">
        <v>46114.0</v>
      </c>
      <c r="P66" s="60">
        <v>46132.0</v>
      </c>
      <c r="S66" s="21" t="s">
        <v>23</v>
      </c>
    </row>
    <row r="67">
      <c r="A67" s="164">
        <v>66.0</v>
      </c>
      <c r="B67" s="167" t="s">
        <v>1347</v>
      </c>
      <c r="C67" s="167">
        <v>2.60291121E8</v>
      </c>
      <c r="D67" s="167" t="s">
        <v>1303</v>
      </c>
      <c r="E67" s="167" t="s">
        <v>1348</v>
      </c>
      <c r="F67" s="170"/>
      <c r="G67" s="167" t="s">
        <v>18</v>
      </c>
      <c r="H67" s="167" t="s">
        <v>40</v>
      </c>
      <c r="I67" s="170"/>
      <c r="J67" s="167" t="s">
        <v>30</v>
      </c>
      <c r="K67" s="170"/>
      <c r="L67" s="170" t="s">
        <v>1336</v>
      </c>
      <c r="M67" s="172">
        <f t="shared" si="1"/>
        <v>46112</v>
      </c>
      <c r="N67" s="173">
        <f t="shared" si="2"/>
        <v>46120</v>
      </c>
      <c r="O67" s="175">
        <v>46114.0</v>
      </c>
      <c r="P67" s="60">
        <v>46132.0</v>
      </c>
      <c r="S67" s="21" t="s">
        <v>23</v>
      </c>
    </row>
    <row r="68">
      <c r="A68" s="164">
        <v>67.0</v>
      </c>
      <c r="B68" s="167" t="s">
        <v>1349</v>
      </c>
      <c r="C68" s="167">
        <v>2.60291155E8</v>
      </c>
      <c r="D68" s="167" t="s">
        <v>1350</v>
      </c>
      <c r="E68" s="167" t="s">
        <v>1351</v>
      </c>
      <c r="F68" s="170"/>
      <c r="G68" s="167" t="s">
        <v>18</v>
      </c>
      <c r="H68" s="167" t="s">
        <v>40</v>
      </c>
      <c r="I68" s="170"/>
      <c r="J68" s="167" t="s">
        <v>30</v>
      </c>
      <c r="K68" s="170"/>
      <c r="L68" s="170" t="s">
        <v>1336</v>
      </c>
      <c r="M68" s="172">
        <f t="shared" si="1"/>
        <v>46112</v>
      </c>
      <c r="N68" s="173">
        <f t="shared" si="2"/>
        <v>46120</v>
      </c>
      <c r="O68" s="175">
        <v>46114.0</v>
      </c>
      <c r="P68" s="60">
        <v>46132.0</v>
      </c>
      <c r="S68" s="21" t="s">
        <v>23</v>
      </c>
    </row>
    <row r="69">
      <c r="A69" s="164">
        <v>68.0</v>
      </c>
      <c r="B69" s="167" t="s">
        <v>1352</v>
      </c>
      <c r="C69" s="167">
        <v>2.60291175E8</v>
      </c>
      <c r="D69" s="167" t="s">
        <v>1303</v>
      </c>
      <c r="E69" s="167" t="s">
        <v>1353</v>
      </c>
      <c r="F69" s="170"/>
      <c r="G69" s="167" t="s">
        <v>18</v>
      </c>
      <c r="H69" s="167" t="s">
        <v>40</v>
      </c>
      <c r="I69" s="170"/>
      <c r="J69" s="167" t="s">
        <v>30</v>
      </c>
      <c r="K69" s="170"/>
      <c r="L69" s="170" t="s">
        <v>1336</v>
      </c>
      <c r="M69" s="172">
        <f t="shared" si="1"/>
        <v>46112</v>
      </c>
      <c r="N69" s="173">
        <f t="shared" si="2"/>
        <v>46120</v>
      </c>
      <c r="O69" s="175">
        <v>46114.0</v>
      </c>
      <c r="P69" s="60">
        <v>46132.0</v>
      </c>
      <c r="S69" s="21" t="s">
        <v>23</v>
      </c>
    </row>
    <row r="70">
      <c r="A70" s="164">
        <v>69.0</v>
      </c>
      <c r="B70" s="167" t="s">
        <v>1354</v>
      </c>
      <c r="C70" s="167">
        <v>2.60291165E8</v>
      </c>
      <c r="D70" s="167" t="s">
        <v>1303</v>
      </c>
      <c r="E70" s="167" t="s">
        <v>1355</v>
      </c>
      <c r="F70" s="170"/>
      <c r="G70" s="167" t="s">
        <v>18</v>
      </c>
      <c r="H70" s="167" t="s">
        <v>40</v>
      </c>
      <c r="I70" s="170"/>
      <c r="J70" s="167" t="s">
        <v>30</v>
      </c>
      <c r="K70" s="170"/>
      <c r="L70" s="170" t="s">
        <v>1336</v>
      </c>
      <c r="M70" s="172">
        <f t="shared" si="1"/>
        <v>46112</v>
      </c>
      <c r="N70" s="173">
        <f t="shared" si="2"/>
        <v>46120</v>
      </c>
      <c r="O70" s="175">
        <v>46114.0</v>
      </c>
      <c r="P70" s="60">
        <v>46132.0</v>
      </c>
      <c r="S70" s="21" t="s">
        <v>23</v>
      </c>
    </row>
    <row r="71">
      <c r="A71" s="164">
        <v>70.0</v>
      </c>
      <c r="B71" s="167" t="s">
        <v>1356</v>
      </c>
      <c r="C71" s="167">
        <v>2.6029238E8</v>
      </c>
      <c r="D71" s="167" t="s">
        <v>1357</v>
      </c>
      <c r="E71" s="167" t="s">
        <v>1358</v>
      </c>
      <c r="F71" s="170"/>
      <c r="G71" s="167" t="s">
        <v>18</v>
      </c>
      <c r="H71" s="167" t="s">
        <v>264</v>
      </c>
      <c r="I71" s="170"/>
      <c r="J71" s="167" t="s">
        <v>359</v>
      </c>
      <c r="K71" s="170"/>
      <c r="L71" s="170" t="s">
        <v>1336</v>
      </c>
      <c r="M71" s="172">
        <f t="shared" si="1"/>
        <v>46112</v>
      </c>
      <c r="N71" s="173">
        <f t="shared" si="2"/>
        <v>46120</v>
      </c>
      <c r="O71" s="175">
        <v>46114.0</v>
      </c>
      <c r="P71" s="60">
        <v>46127.0</v>
      </c>
      <c r="S71" s="21" t="s">
        <v>23</v>
      </c>
    </row>
    <row r="72">
      <c r="A72" s="164">
        <v>71.0</v>
      </c>
      <c r="B72" s="167" t="s">
        <v>1359</v>
      </c>
      <c r="C72" s="167">
        <v>2.60292411E8</v>
      </c>
      <c r="D72" s="167" t="s">
        <v>1360</v>
      </c>
      <c r="E72" s="167" t="s">
        <v>1361</v>
      </c>
      <c r="F72" s="170"/>
      <c r="G72" s="167" t="s">
        <v>18</v>
      </c>
      <c r="H72" s="167" t="s">
        <v>264</v>
      </c>
      <c r="I72" s="170"/>
      <c r="J72" s="167" t="s">
        <v>359</v>
      </c>
      <c r="K72" s="170"/>
      <c r="L72" s="170" t="s">
        <v>1336</v>
      </c>
      <c r="M72" s="172">
        <f t="shared" si="1"/>
        <v>46112</v>
      </c>
      <c r="N72" s="173">
        <f t="shared" si="2"/>
        <v>46120</v>
      </c>
      <c r="O72" s="175">
        <v>46114.0</v>
      </c>
      <c r="P72" s="60">
        <v>46127.0</v>
      </c>
      <c r="S72" s="21" t="s">
        <v>23</v>
      </c>
    </row>
    <row r="73">
      <c r="A73" s="184">
        <v>72.0</v>
      </c>
      <c r="B73" s="185" t="s">
        <v>1362</v>
      </c>
      <c r="C73" s="185">
        <v>2.60295976E8</v>
      </c>
      <c r="D73" s="185" t="s">
        <v>1363</v>
      </c>
      <c r="E73" s="186" t="s">
        <v>1364</v>
      </c>
      <c r="F73" s="186"/>
      <c r="G73" s="186" t="s">
        <v>18</v>
      </c>
      <c r="H73" s="186" t="s">
        <v>1365</v>
      </c>
      <c r="I73" s="186"/>
      <c r="J73" s="186" t="s">
        <v>359</v>
      </c>
      <c r="K73" s="186"/>
      <c r="L73" s="186" t="s">
        <v>1286</v>
      </c>
      <c r="M73" s="187">
        <f t="shared" si="1"/>
        <v>46106</v>
      </c>
      <c r="N73" s="188">
        <f t="shared" si="2"/>
        <v>46114</v>
      </c>
      <c r="O73" s="189">
        <v>46114.0</v>
      </c>
      <c r="P73" s="60">
        <v>46127.0</v>
      </c>
      <c r="S73" s="21" t="s">
        <v>23</v>
      </c>
    </row>
    <row r="74">
      <c r="A74" s="164">
        <v>73.0</v>
      </c>
      <c r="B74" s="167" t="s">
        <v>1366</v>
      </c>
      <c r="C74" s="167">
        <v>2.60314487E8</v>
      </c>
      <c r="D74" s="167" t="s">
        <v>1303</v>
      </c>
      <c r="E74" s="167" t="s">
        <v>1367</v>
      </c>
      <c r="F74" s="170"/>
      <c r="G74" s="167" t="s">
        <v>18</v>
      </c>
      <c r="H74" s="167" t="s">
        <v>40</v>
      </c>
      <c r="I74" s="170"/>
      <c r="J74" s="167" t="s">
        <v>30</v>
      </c>
      <c r="K74" s="170"/>
      <c r="L74" s="167" t="s">
        <v>1368</v>
      </c>
      <c r="M74" s="172">
        <f t="shared" si="1"/>
        <v>46117</v>
      </c>
      <c r="N74" s="173">
        <f t="shared" si="2"/>
        <v>46125</v>
      </c>
      <c r="O74" s="175">
        <v>46118.0</v>
      </c>
      <c r="P74" s="60">
        <v>46132.0</v>
      </c>
      <c r="S74" s="21" t="s">
        <v>23</v>
      </c>
    </row>
    <row r="75">
      <c r="A75" s="164">
        <v>74.0</v>
      </c>
      <c r="B75" s="167" t="s">
        <v>1369</v>
      </c>
      <c r="C75" s="167">
        <v>2.60314507E8</v>
      </c>
      <c r="D75" s="167" t="s">
        <v>1303</v>
      </c>
      <c r="E75" s="167" t="s">
        <v>1370</v>
      </c>
      <c r="F75" s="170"/>
      <c r="G75" s="167" t="s">
        <v>18</v>
      </c>
      <c r="H75" s="167" t="s">
        <v>40</v>
      </c>
      <c r="I75" s="170"/>
      <c r="J75" s="167" t="s">
        <v>30</v>
      </c>
      <c r="K75" s="170"/>
      <c r="L75" s="167" t="s">
        <v>1368</v>
      </c>
      <c r="M75" s="172">
        <f t="shared" si="1"/>
        <v>46117</v>
      </c>
      <c r="N75" s="173">
        <f t="shared" si="2"/>
        <v>46125</v>
      </c>
      <c r="O75" s="175">
        <v>46118.0</v>
      </c>
      <c r="P75" s="60">
        <v>46132.0</v>
      </c>
      <c r="S75" s="21" t="s">
        <v>23</v>
      </c>
    </row>
    <row r="76">
      <c r="A76" s="164">
        <v>75.0</v>
      </c>
      <c r="B76" s="167" t="s">
        <v>1371</v>
      </c>
      <c r="C76" s="167">
        <v>2.60314525E8</v>
      </c>
      <c r="D76" s="167" t="s">
        <v>1303</v>
      </c>
      <c r="E76" s="167" t="s">
        <v>1372</v>
      </c>
      <c r="F76" s="170"/>
      <c r="G76" s="167" t="s">
        <v>18</v>
      </c>
      <c r="H76" s="167" t="s">
        <v>40</v>
      </c>
      <c r="I76" s="170"/>
      <c r="J76" s="167" t="s">
        <v>30</v>
      </c>
      <c r="K76" s="170"/>
      <c r="L76" s="167" t="s">
        <v>1368</v>
      </c>
      <c r="M76" s="172">
        <f t="shared" si="1"/>
        <v>46117</v>
      </c>
      <c r="N76" s="173">
        <f t="shared" si="2"/>
        <v>46125</v>
      </c>
      <c r="O76" s="175">
        <v>46118.0</v>
      </c>
      <c r="P76" s="60">
        <v>46132.0</v>
      </c>
      <c r="S76" s="21" t="s">
        <v>23</v>
      </c>
    </row>
    <row r="77">
      <c r="A77" s="164">
        <v>76.0</v>
      </c>
      <c r="B77" s="167" t="s">
        <v>1373</v>
      </c>
      <c r="C77" s="167">
        <v>2.60314544E8</v>
      </c>
      <c r="D77" s="167" t="s">
        <v>1303</v>
      </c>
      <c r="E77" s="167" t="s">
        <v>1374</v>
      </c>
      <c r="F77" s="170"/>
      <c r="G77" s="167" t="s">
        <v>18</v>
      </c>
      <c r="H77" s="167" t="s">
        <v>40</v>
      </c>
      <c r="I77" s="170"/>
      <c r="J77" s="167" t="s">
        <v>30</v>
      </c>
      <c r="K77" s="170"/>
      <c r="L77" s="167" t="s">
        <v>1368</v>
      </c>
      <c r="M77" s="172">
        <f t="shared" si="1"/>
        <v>46117</v>
      </c>
      <c r="N77" s="173">
        <f t="shared" si="2"/>
        <v>46125</v>
      </c>
      <c r="O77" s="175">
        <v>46118.0</v>
      </c>
      <c r="P77" s="60">
        <v>46132.0</v>
      </c>
      <c r="S77" s="21" t="s">
        <v>23</v>
      </c>
    </row>
    <row r="78">
      <c r="A78" s="164">
        <v>77.0</v>
      </c>
      <c r="B78" s="167" t="s">
        <v>1375</v>
      </c>
      <c r="C78" s="167">
        <v>2.60314574E8</v>
      </c>
      <c r="D78" s="167" t="s">
        <v>1303</v>
      </c>
      <c r="E78" s="167" t="s">
        <v>1376</v>
      </c>
      <c r="F78" s="170"/>
      <c r="G78" s="167" t="s">
        <v>18</v>
      </c>
      <c r="H78" s="167" t="s">
        <v>40</v>
      </c>
      <c r="I78" s="170"/>
      <c r="J78" s="167" t="s">
        <v>30</v>
      </c>
      <c r="K78" s="170"/>
      <c r="L78" s="167" t="s">
        <v>1368</v>
      </c>
      <c r="M78" s="172">
        <f t="shared" si="1"/>
        <v>46117</v>
      </c>
      <c r="N78" s="173">
        <f t="shared" si="2"/>
        <v>46125</v>
      </c>
      <c r="O78" s="175">
        <v>46118.0</v>
      </c>
      <c r="P78" s="60">
        <v>46132.0</v>
      </c>
      <c r="S78" s="21" t="s">
        <v>23</v>
      </c>
    </row>
    <row r="79">
      <c r="A79" s="164">
        <v>78.0</v>
      </c>
      <c r="B79" s="167" t="s">
        <v>1377</v>
      </c>
      <c r="C79" s="167">
        <v>2.60332573E8</v>
      </c>
      <c r="D79" s="176" t="s">
        <v>1378</v>
      </c>
      <c r="E79" s="167" t="s">
        <v>1379</v>
      </c>
      <c r="F79" s="170"/>
      <c r="G79" s="167" t="s">
        <v>442</v>
      </c>
      <c r="H79" s="167" t="s">
        <v>264</v>
      </c>
      <c r="I79" s="170"/>
      <c r="J79" s="167" t="s">
        <v>359</v>
      </c>
      <c r="K79" s="170"/>
      <c r="L79" s="183">
        <v>46109.0</v>
      </c>
      <c r="M79" s="172">
        <f t="shared" si="1"/>
        <v>46120</v>
      </c>
      <c r="N79" s="173">
        <f t="shared" si="2"/>
        <v>46128</v>
      </c>
      <c r="O79" s="175">
        <v>46121.0</v>
      </c>
      <c r="S79" s="21" t="s">
        <v>23</v>
      </c>
    </row>
    <row r="80">
      <c r="A80" s="164">
        <v>79.0</v>
      </c>
      <c r="B80" s="167" t="s">
        <v>1380</v>
      </c>
      <c r="C80" s="167">
        <v>2.60332558E8</v>
      </c>
      <c r="D80" s="176" t="s">
        <v>1381</v>
      </c>
      <c r="E80" s="167" t="s">
        <v>1382</v>
      </c>
      <c r="F80" s="170"/>
      <c r="G80" s="167" t="s">
        <v>18</v>
      </c>
      <c r="H80" s="167" t="s">
        <v>264</v>
      </c>
      <c r="I80" s="170"/>
      <c r="J80" s="167" t="s">
        <v>359</v>
      </c>
      <c r="K80" s="170"/>
      <c r="L80" s="183">
        <v>46109.0</v>
      </c>
      <c r="M80" s="172">
        <f t="shared" si="1"/>
        <v>46120</v>
      </c>
      <c r="N80" s="173">
        <f t="shared" si="2"/>
        <v>46128</v>
      </c>
      <c r="O80" s="175">
        <v>46121.0</v>
      </c>
      <c r="S80" s="21" t="s">
        <v>1383</v>
      </c>
    </row>
    <row r="81">
      <c r="A81" s="164">
        <v>80.0</v>
      </c>
      <c r="B81" s="167" t="s">
        <v>1384</v>
      </c>
      <c r="C81" s="167">
        <v>2.60332449E8</v>
      </c>
      <c r="D81" s="176" t="s">
        <v>1385</v>
      </c>
      <c r="E81" s="167" t="s">
        <v>1386</v>
      </c>
      <c r="F81" s="170"/>
      <c r="G81" s="167" t="s">
        <v>18</v>
      </c>
      <c r="H81" s="167" t="s">
        <v>264</v>
      </c>
      <c r="I81" s="170"/>
      <c r="J81" s="167" t="s">
        <v>359</v>
      </c>
      <c r="K81" s="170"/>
      <c r="L81" s="175">
        <v>46109.0</v>
      </c>
      <c r="M81" s="172">
        <f t="shared" si="1"/>
        <v>46120</v>
      </c>
      <c r="N81" s="173">
        <f t="shared" si="2"/>
        <v>46128</v>
      </c>
      <c r="O81" s="175">
        <v>46121.0</v>
      </c>
      <c r="S81" s="21" t="s">
        <v>1383</v>
      </c>
    </row>
    <row r="82">
      <c r="A82" s="164">
        <v>81.0</v>
      </c>
      <c r="B82" s="167" t="s">
        <v>1387</v>
      </c>
      <c r="C82" s="167">
        <v>2.60344985E8</v>
      </c>
      <c r="D82" s="167" t="s">
        <v>1388</v>
      </c>
      <c r="E82" s="167" t="s">
        <v>1389</v>
      </c>
      <c r="F82" s="170"/>
      <c r="G82" s="167" t="s">
        <v>18</v>
      </c>
      <c r="H82" s="167" t="s">
        <v>40</v>
      </c>
      <c r="I82" s="170"/>
      <c r="J82" s="167" t="s">
        <v>30</v>
      </c>
      <c r="K82" s="170"/>
      <c r="L82" s="167" t="s">
        <v>1390</v>
      </c>
      <c r="M82" s="172">
        <f t="shared" si="1"/>
        <v>46123</v>
      </c>
      <c r="N82" s="173">
        <f t="shared" si="2"/>
        <v>46131</v>
      </c>
      <c r="O82" s="175">
        <v>46125.0</v>
      </c>
      <c r="S82" s="21" t="s">
        <v>1383</v>
      </c>
    </row>
    <row r="83">
      <c r="A83" s="164">
        <v>82.0</v>
      </c>
      <c r="B83" s="167" t="s">
        <v>1391</v>
      </c>
      <c r="C83" s="167">
        <v>2.60345003E8</v>
      </c>
      <c r="D83" s="167" t="s">
        <v>1388</v>
      </c>
      <c r="E83" s="167" t="s">
        <v>1392</v>
      </c>
      <c r="F83" s="170"/>
      <c r="G83" s="167" t="s">
        <v>18</v>
      </c>
      <c r="H83" s="167" t="s">
        <v>40</v>
      </c>
      <c r="I83" s="170"/>
      <c r="J83" s="167" t="s">
        <v>30</v>
      </c>
      <c r="K83" s="170"/>
      <c r="L83" s="190" t="s">
        <v>1390</v>
      </c>
      <c r="M83" s="172">
        <f t="shared" si="1"/>
        <v>46123</v>
      </c>
      <c r="N83" s="173">
        <f t="shared" si="2"/>
        <v>46131</v>
      </c>
      <c r="O83" s="175">
        <v>46125.0</v>
      </c>
      <c r="S83" s="21" t="s">
        <v>1383</v>
      </c>
    </row>
    <row r="91">
      <c r="B91" s="27"/>
      <c r="C91" s="27"/>
      <c r="D91" s="191"/>
      <c r="G91" s="27"/>
      <c r="H91" s="27"/>
    </row>
    <row r="92">
      <c r="B92" s="27"/>
      <c r="C92" s="27"/>
      <c r="D92" s="191"/>
      <c r="G92" s="27"/>
      <c r="H92" s="27"/>
    </row>
    <row r="93">
      <c r="B93" s="27"/>
      <c r="C93" s="27"/>
      <c r="D93" s="191"/>
      <c r="G93" s="27"/>
      <c r="H93" s="27"/>
    </row>
    <row r="94">
      <c r="B94" s="27"/>
      <c r="C94" s="27"/>
      <c r="D94" s="191"/>
      <c r="G94" s="27"/>
      <c r="H94" s="27"/>
    </row>
    <row r="95">
      <c r="B95" s="27"/>
      <c r="C95" s="27"/>
      <c r="D95" s="191"/>
      <c r="G95" s="27"/>
      <c r="H95" s="27"/>
    </row>
    <row r="96">
      <c r="B96" s="27"/>
      <c r="C96" s="27"/>
      <c r="D96" s="191"/>
      <c r="G96" s="27"/>
      <c r="H96" s="27"/>
    </row>
    <row r="97">
      <c r="B97" s="27"/>
      <c r="C97" s="27"/>
      <c r="D97" s="191"/>
      <c r="G97" s="27"/>
      <c r="H97" s="27"/>
    </row>
    <row r="98">
      <c r="B98" s="27"/>
      <c r="C98" s="27"/>
      <c r="D98" s="191"/>
      <c r="G98" s="27"/>
      <c r="H98" s="27"/>
    </row>
    <row r="99">
      <c r="B99" s="27"/>
      <c r="C99" s="27"/>
      <c r="D99" s="191"/>
      <c r="G99" s="27"/>
      <c r="H99" s="27"/>
    </row>
    <row r="100">
      <c r="B100" s="27"/>
      <c r="C100" s="27"/>
      <c r="D100" s="191"/>
      <c r="G100" s="27"/>
      <c r="H100" s="27"/>
    </row>
    <row r="101">
      <c r="B101" s="27"/>
      <c r="C101" s="27"/>
      <c r="D101" s="191"/>
      <c r="G101" s="27"/>
      <c r="H101" s="27"/>
    </row>
    <row r="102">
      <c r="B102" s="27"/>
      <c r="C102" s="27"/>
      <c r="D102" s="191"/>
      <c r="G102" s="27"/>
      <c r="H102" s="27"/>
    </row>
    <row r="103">
      <c r="B103" s="27"/>
      <c r="C103" s="27"/>
      <c r="D103" s="191"/>
      <c r="G103" s="27"/>
      <c r="H103" s="27"/>
    </row>
    <row r="104">
      <c r="B104" s="27"/>
      <c r="C104" s="27"/>
      <c r="D104" s="191"/>
      <c r="G104" s="27"/>
      <c r="H104" s="27"/>
    </row>
    <row r="105">
      <c r="B105" s="27"/>
      <c r="C105" s="27"/>
      <c r="D105" s="191"/>
      <c r="G105" s="27"/>
      <c r="H105" s="27"/>
    </row>
    <row r="106">
      <c r="B106" s="27"/>
      <c r="C106" s="27"/>
      <c r="D106" s="191"/>
      <c r="G106" s="27"/>
      <c r="H106" s="27"/>
    </row>
    <row r="107">
      <c r="B107" s="27"/>
      <c r="C107" s="27"/>
      <c r="D107" s="191"/>
      <c r="G107" s="27"/>
      <c r="H107" s="27"/>
    </row>
    <row r="108">
      <c r="B108" s="27"/>
      <c r="C108" s="27"/>
      <c r="D108" s="191"/>
      <c r="G108" s="27"/>
      <c r="H108" s="27"/>
    </row>
    <row r="109">
      <c r="B109" s="27"/>
      <c r="C109" s="27"/>
      <c r="D109" s="191"/>
      <c r="G109" s="27"/>
      <c r="H109" s="27"/>
    </row>
    <row r="110">
      <c r="B110" s="27"/>
      <c r="C110" s="27"/>
      <c r="D110" s="191"/>
      <c r="G110" s="27"/>
      <c r="H110" s="27"/>
    </row>
    <row r="111">
      <c r="B111" s="27"/>
      <c r="C111" s="27"/>
      <c r="D111" s="191"/>
      <c r="G111" s="27"/>
      <c r="H111" s="27"/>
    </row>
    <row r="112">
      <c r="B112" s="27"/>
      <c r="C112" s="27"/>
      <c r="D112" s="191"/>
      <c r="G112" s="27"/>
      <c r="H112" s="27"/>
    </row>
    <row r="113">
      <c r="B113" s="27"/>
      <c r="C113" s="27"/>
      <c r="D113" s="191"/>
      <c r="G113" s="27"/>
      <c r="H113" s="27"/>
    </row>
    <row r="114">
      <c r="B114" s="27"/>
      <c r="C114" s="27"/>
      <c r="D114" s="191"/>
      <c r="G114" s="27"/>
      <c r="H114" s="27"/>
    </row>
    <row r="115">
      <c r="B115" s="27"/>
      <c r="C115" s="27"/>
      <c r="D115" s="191"/>
      <c r="G115" s="27"/>
      <c r="H115" s="27"/>
    </row>
    <row r="116">
      <c r="B116" s="27"/>
      <c r="C116" s="27"/>
      <c r="D116" s="191"/>
      <c r="G116" s="27"/>
      <c r="H116" s="27"/>
    </row>
    <row r="117">
      <c r="B117" s="27"/>
      <c r="C117" s="27"/>
      <c r="D117" s="191"/>
      <c r="G117" s="27"/>
      <c r="H117" s="27"/>
    </row>
    <row r="118">
      <c r="B118" s="27"/>
      <c r="C118" s="27"/>
      <c r="D118" s="191"/>
      <c r="G118" s="27"/>
      <c r="H118" s="27"/>
    </row>
    <row r="119">
      <c r="B119" s="27"/>
      <c r="C119" s="27"/>
      <c r="D119" s="191"/>
      <c r="G119" s="27"/>
      <c r="H119" s="27"/>
    </row>
    <row r="120">
      <c r="B120" s="27"/>
      <c r="C120" s="27"/>
      <c r="D120" s="191"/>
      <c r="G120" s="27"/>
      <c r="H120" s="27"/>
    </row>
    <row r="121">
      <c r="B121" s="27"/>
      <c r="C121" s="27"/>
      <c r="D121" s="191"/>
      <c r="G121" s="27"/>
      <c r="H121" s="27"/>
    </row>
    <row r="122">
      <c r="B122" s="27"/>
      <c r="C122" s="27"/>
      <c r="D122" s="191"/>
      <c r="G122" s="27"/>
      <c r="H122" s="27"/>
    </row>
    <row r="123">
      <c r="B123" s="27"/>
      <c r="C123" s="27"/>
      <c r="D123" s="191"/>
      <c r="G123" s="27"/>
      <c r="H123" s="27"/>
    </row>
    <row r="124">
      <c r="B124" s="27"/>
      <c r="C124" s="27"/>
      <c r="D124" s="191"/>
      <c r="G124" s="27"/>
      <c r="H124" s="27"/>
    </row>
    <row r="125">
      <c r="B125" s="27"/>
      <c r="C125" s="27"/>
      <c r="D125" s="191"/>
      <c r="G125" s="27"/>
      <c r="H125" s="27"/>
    </row>
    <row r="126">
      <c r="B126" s="27"/>
      <c r="C126" s="27"/>
      <c r="D126" s="191"/>
      <c r="G126" s="27"/>
      <c r="H126" s="27"/>
    </row>
    <row r="127">
      <c r="B127" s="27"/>
      <c r="C127" s="27"/>
      <c r="D127" s="191"/>
      <c r="G127" s="27"/>
      <c r="H127" s="27"/>
    </row>
    <row r="128">
      <c r="B128" s="27"/>
      <c r="C128" s="27"/>
      <c r="D128" s="191"/>
      <c r="G128" s="27"/>
      <c r="H128" s="27"/>
    </row>
    <row r="129">
      <c r="B129" s="27"/>
      <c r="C129" s="27"/>
      <c r="D129" s="191"/>
      <c r="G129" s="27"/>
      <c r="H129" s="27"/>
    </row>
    <row r="130">
      <c r="B130" s="27"/>
      <c r="C130" s="27"/>
      <c r="D130" s="191"/>
      <c r="G130" s="27"/>
      <c r="H130" s="27"/>
    </row>
    <row r="131">
      <c r="B131" s="27"/>
      <c r="C131" s="27"/>
      <c r="D131" s="191"/>
      <c r="G131" s="27"/>
      <c r="H131" s="27"/>
    </row>
    <row r="132">
      <c r="B132" s="27"/>
      <c r="C132" s="27"/>
      <c r="D132" s="191"/>
      <c r="G132" s="27"/>
      <c r="H132" s="27"/>
    </row>
    <row r="133">
      <c r="B133" s="27"/>
      <c r="C133" s="27"/>
      <c r="D133" s="191"/>
      <c r="G133" s="27"/>
      <c r="H133" s="27"/>
    </row>
    <row r="134">
      <c r="B134" s="27"/>
      <c r="C134" s="27"/>
      <c r="D134" s="191"/>
      <c r="G134" s="27"/>
      <c r="H134" s="27"/>
    </row>
    <row r="135">
      <c r="B135" s="27"/>
      <c r="C135" s="27"/>
      <c r="D135" s="191"/>
      <c r="G135" s="27"/>
      <c r="H135" s="27"/>
    </row>
    <row r="136">
      <c r="B136" s="27"/>
      <c r="C136" s="27"/>
      <c r="D136" s="191"/>
      <c r="G136" s="27"/>
      <c r="H136" s="27"/>
    </row>
    <row r="137">
      <c r="B137" s="27"/>
      <c r="C137" s="27"/>
      <c r="D137" s="191"/>
      <c r="G137" s="27"/>
      <c r="H137" s="27"/>
    </row>
    <row r="138">
      <c r="B138" s="27"/>
      <c r="C138" s="27"/>
      <c r="D138" s="191"/>
      <c r="G138" s="27"/>
      <c r="H138" s="27"/>
    </row>
    <row r="139">
      <c r="B139" s="27"/>
      <c r="C139" s="27"/>
      <c r="D139" s="191"/>
      <c r="G139" s="27"/>
      <c r="H139" s="27"/>
    </row>
    <row r="140">
      <c r="B140" s="27"/>
      <c r="C140" s="27"/>
      <c r="D140" s="191"/>
      <c r="G140" s="27"/>
      <c r="H140" s="27"/>
    </row>
    <row r="141">
      <c r="B141" s="27"/>
      <c r="C141" s="27"/>
      <c r="D141" s="191"/>
      <c r="G141" s="27"/>
      <c r="H141" s="27"/>
    </row>
    <row r="142">
      <c r="B142" s="27"/>
      <c r="C142" s="27"/>
      <c r="D142" s="191"/>
      <c r="G142" s="27"/>
      <c r="H142" s="27"/>
    </row>
    <row r="143">
      <c r="B143" s="27"/>
      <c r="C143" s="27"/>
      <c r="D143" s="191"/>
      <c r="G143" s="27"/>
      <c r="H143" s="27"/>
    </row>
    <row r="144">
      <c r="B144" s="27"/>
      <c r="C144" s="27"/>
      <c r="D144" s="191"/>
      <c r="G144" s="27"/>
      <c r="H144" s="27"/>
    </row>
    <row r="145">
      <c r="B145" s="27"/>
      <c r="C145" s="27"/>
      <c r="D145" s="191"/>
      <c r="G145" s="27"/>
      <c r="H145" s="27"/>
    </row>
    <row r="146">
      <c r="B146" s="27"/>
      <c r="C146" s="27"/>
      <c r="D146" s="191"/>
      <c r="G146" s="27"/>
      <c r="H146" s="27"/>
    </row>
    <row r="147">
      <c r="B147" s="27"/>
      <c r="C147" s="27"/>
      <c r="D147" s="191"/>
      <c r="G147" s="27"/>
      <c r="H147" s="27"/>
    </row>
    <row r="148">
      <c r="B148" s="27"/>
      <c r="C148" s="27"/>
      <c r="D148" s="191"/>
      <c r="G148" s="27"/>
      <c r="H148" s="27"/>
    </row>
    <row r="149">
      <c r="B149" s="27"/>
      <c r="C149" s="27"/>
      <c r="D149" s="191"/>
      <c r="G149" s="27"/>
      <c r="H149" s="27"/>
    </row>
    <row r="150">
      <c r="B150" s="27"/>
      <c r="C150" s="27"/>
      <c r="D150" s="191"/>
      <c r="G150" s="27"/>
      <c r="H150" s="27"/>
    </row>
    <row r="151">
      <c r="B151" s="27"/>
      <c r="C151" s="27"/>
      <c r="D151" s="191"/>
      <c r="G151" s="27"/>
      <c r="H151" s="27"/>
    </row>
    <row r="152">
      <c r="B152" s="27"/>
      <c r="C152" s="27"/>
      <c r="D152" s="191"/>
      <c r="G152" s="27"/>
      <c r="H152" s="27"/>
    </row>
    <row r="153">
      <c r="B153" s="27"/>
      <c r="C153" s="27"/>
      <c r="D153" s="191"/>
      <c r="G153" s="27"/>
      <c r="H153" s="27"/>
    </row>
    <row r="154">
      <c r="B154" s="27"/>
      <c r="C154" s="27"/>
      <c r="D154" s="191"/>
      <c r="G154" s="27"/>
      <c r="H154" s="27"/>
    </row>
    <row r="155">
      <c r="B155" s="27"/>
      <c r="C155" s="27"/>
      <c r="D155" s="191"/>
      <c r="G155" s="27"/>
      <c r="H155" s="27"/>
    </row>
    <row r="156">
      <c r="B156" s="27"/>
      <c r="C156" s="27"/>
      <c r="D156" s="191"/>
      <c r="G156" s="27"/>
      <c r="H156" s="27"/>
    </row>
    <row r="157">
      <c r="B157" s="27"/>
      <c r="C157" s="27"/>
      <c r="D157" s="191"/>
      <c r="G157" s="27"/>
      <c r="H157" s="27"/>
    </row>
    <row r="158">
      <c r="B158" s="27"/>
      <c r="C158" s="27"/>
      <c r="D158" s="191"/>
      <c r="G158" s="27"/>
      <c r="H158" s="27"/>
    </row>
    <row r="159">
      <c r="B159" s="27"/>
      <c r="C159" s="27"/>
      <c r="D159" s="191"/>
      <c r="G159" s="27"/>
      <c r="H159" s="27"/>
    </row>
    <row r="160">
      <c r="B160" s="27"/>
      <c r="C160" s="27"/>
      <c r="D160" s="191"/>
      <c r="G160" s="27"/>
      <c r="H160" s="27"/>
    </row>
    <row r="161">
      <c r="B161" s="27"/>
      <c r="C161" s="27"/>
      <c r="D161" s="191"/>
      <c r="G161" s="27"/>
      <c r="H161" s="27"/>
    </row>
    <row r="162">
      <c r="B162" s="27"/>
      <c r="C162" s="27"/>
      <c r="D162" s="191"/>
      <c r="G162" s="27"/>
      <c r="H162" s="27"/>
    </row>
    <row r="163">
      <c r="B163" s="27"/>
      <c r="C163" s="27"/>
      <c r="D163" s="191"/>
      <c r="G163" s="27"/>
      <c r="H163" s="27"/>
    </row>
    <row r="164">
      <c r="B164" s="27"/>
      <c r="C164" s="27"/>
      <c r="D164" s="191"/>
      <c r="G164" s="27"/>
      <c r="H164" s="27"/>
    </row>
    <row r="165">
      <c r="B165" s="27"/>
      <c r="C165" s="27"/>
      <c r="D165" s="191"/>
      <c r="G165" s="27"/>
      <c r="H165" s="27"/>
    </row>
    <row r="166">
      <c r="B166" s="27"/>
      <c r="C166" s="27"/>
      <c r="D166" s="191"/>
      <c r="G166" s="27"/>
      <c r="H166" s="27"/>
    </row>
    <row r="167">
      <c r="B167" s="27"/>
      <c r="C167" s="27"/>
      <c r="D167" s="191"/>
      <c r="G167" s="27"/>
      <c r="H167" s="27"/>
    </row>
    <row r="168">
      <c r="B168" s="27"/>
      <c r="C168" s="27"/>
      <c r="D168" s="191"/>
      <c r="G168" s="27"/>
      <c r="H168" s="27"/>
    </row>
    <row r="169">
      <c r="B169" s="27"/>
      <c r="C169" s="27"/>
      <c r="D169" s="191"/>
      <c r="G169" s="27"/>
      <c r="H169" s="27"/>
    </row>
    <row r="170">
      <c r="B170" s="27"/>
      <c r="C170" s="27"/>
      <c r="D170" s="191"/>
      <c r="G170" s="27"/>
      <c r="H170" s="27"/>
    </row>
    <row r="171">
      <c r="B171" s="27"/>
      <c r="C171" s="27"/>
      <c r="D171" s="191"/>
      <c r="G171" s="27"/>
      <c r="H171" s="27"/>
    </row>
    <row r="172">
      <c r="B172" s="27"/>
      <c r="C172" s="27"/>
      <c r="D172" s="191"/>
      <c r="G172" s="27"/>
      <c r="H172" s="27"/>
    </row>
    <row r="173">
      <c r="B173" s="27"/>
      <c r="C173" s="27"/>
      <c r="D173" s="191"/>
      <c r="G173" s="27"/>
      <c r="H173" s="27"/>
    </row>
    <row r="174">
      <c r="B174" s="27"/>
      <c r="C174" s="27"/>
      <c r="D174" s="191"/>
      <c r="G174" s="27"/>
      <c r="H174" s="27"/>
    </row>
    <row r="175">
      <c r="B175" s="27"/>
      <c r="C175" s="27"/>
      <c r="D175" s="191"/>
      <c r="G175" s="27"/>
      <c r="H175" s="27"/>
    </row>
    <row r="176">
      <c r="B176" s="27"/>
      <c r="C176" s="27"/>
      <c r="D176" s="191"/>
      <c r="G176" s="27"/>
      <c r="H176" s="27"/>
    </row>
    <row r="177">
      <c r="B177" s="27"/>
      <c r="C177" s="27"/>
      <c r="D177" s="191"/>
      <c r="G177" s="27"/>
      <c r="H177" s="27"/>
    </row>
    <row r="178">
      <c r="B178" s="27"/>
      <c r="C178" s="27"/>
      <c r="D178" s="191"/>
      <c r="G178" s="27"/>
      <c r="H178" s="27"/>
    </row>
    <row r="179">
      <c r="B179" s="27"/>
      <c r="C179" s="27"/>
      <c r="D179" s="191"/>
      <c r="G179" s="27"/>
      <c r="H179" s="27"/>
    </row>
    <row r="180">
      <c r="B180" s="27"/>
      <c r="C180" s="27"/>
      <c r="D180" s="191"/>
      <c r="G180" s="27"/>
      <c r="H180" s="27"/>
    </row>
    <row r="181">
      <c r="B181" s="27"/>
      <c r="C181" s="27"/>
      <c r="D181" s="191"/>
      <c r="G181" s="27"/>
      <c r="H181" s="27"/>
    </row>
    <row r="182">
      <c r="B182" s="27"/>
      <c r="C182" s="27"/>
      <c r="D182" s="191"/>
      <c r="G182" s="27"/>
      <c r="H182" s="27"/>
    </row>
    <row r="183">
      <c r="B183" s="27"/>
      <c r="C183" s="27"/>
      <c r="D183" s="191"/>
      <c r="G183" s="27"/>
      <c r="H183" s="27"/>
    </row>
    <row r="184">
      <c r="B184" s="27"/>
      <c r="C184" s="27"/>
      <c r="D184" s="191"/>
      <c r="G184" s="27"/>
      <c r="H184" s="27"/>
    </row>
    <row r="185">
      <c r="B185" s="27"/>
      <c r="C185" s="27"/>
      <c r="D185" s="191"/>
      <c r="G185" s="27"/>
      <c r="H185" s="27"/>
    </row>
    <row r="186">
      <c r="B186" s="27"/>
      <c r="C186" s="27"/>
      <c r="D186" s="191"/>
      <c r="G186" s="27"/>
      <c r="H186" s="27"/>
    </row>
    <row r="187">
      <c r="B187" s="27"/>
      <c r="C187" s="27"/>
      <c r="D187" s="191"/>
      <c r="G187" s="27"/>
      <c r="H187" s="27"/>
    </row>
    <row r="188">
      <c r="B188" s="27"/>
      <c r="C188" s="27"/>
      <c r="D188" s="191"/>
      <c r="G188" s="27"/>
      <c r="H188" s="27"/>
    </row>
    <row r="189">
      <c r="B189" s="27"/>
      <c r="C189" s="27"/>
      <c r="D189" s="191"/>
      <c r="G189" s="27"/>
      <c r="H189" s="27"/>
    </row>
    <row r="190">
      <c r="B190" s="27"/>
      <c r="C190" s="27"/>
      <c r="D190" s="191"/>
      <c r="G190" s="27"/>
      <c r="H190" s="27"/>
    </row>
    <row r="191">
      <c r="B191" s="27"/>
      <c r="C191" s="27"/>
      <c r="D191" s="191"/>
      <c r="G191" s="27"/>
      <c r="H191" s="27"/>
    </row>
    <row r="192">
      <c r="B192" s="27"/>
      <c r="C192" s="27"/>
      <c r="D192" s="191"/>
      <c r="G192" s="27"/>
      <c r="H192" s="27"/>
    </row>
    <row r="193">
      <c r="B193" s="27"/>
      <c r="C193" s="27"/>
      <c r="D193" s="191"/>
      <c r="G193" s="27"/>
      <c r="H193" s="27"/>
    </row>
    <row r="194">
      <c r="B194" s="27"/>
      <c r="C194" s="27"/>
      <c r="D194" s="191"/>
      <c r="G194" s="27"/>
      <c r="H194" s="27"/>
    </row>
    <row r="195">
      <c r="B195" s="27"/>
      <c r="C195" s="27"/>
      <c r="D195" s="191"/>
      <c r="G195" s="27"/>
      <c r="H195" s="27"/>
    </row>
    <row r="196">
      <c r="B196" s="27"/>
      <c r="C196" s="27"/>
      <c r="D196" s="191"/>
      <c r="G196" s="27"/>
      <c r="H196" s="27"/>
    </row>
    <row r="197">
      <c r="B197" s="27"/>
      <c r="C197" s="27"/>
      <c r="D197" s="191"/>
      <c r="G197" s="27"/>
      <c r="H197" s="27"/>
    </row>
    <row r="198">
      <c r="B198" s="27"/>
      <c r="C198" s="27"/>
      <c r="D198" s="191"/>
      <c r="G198" s="27"/>
      <c r="H198" s="27"/>
    </row>
    <row r="199">
      <c r="B199" s="27"/>
      <c r="C199" s="27"/>
      <c r="D199" s="191"/>
      <c r="G199" s="27"/>
      <c r="H199" s="27"/>
    </row>
    <row r="200">
      <c r="B200" s="27"/>
      <c r="C200" s="27"/>
      <c r="D200" s="191"/>
      <c r="G200" s="27"/>
      <c r="H200" s="27"/>
    </row>
    <row r="201">
      <c r="B201" s="27"/>
      <c r="C201" s="27"/>
      <c r="D201" s="191"/>
      <c r="G201" s="27"/>
      <c r="H201" s="27"/>
    </row>
    <row r="202">
      <c r="B202" s="27"/>
      <c r="C202" s="27"/>
      <c r="D202" s="191"/>
      <c r="G202" s="27"/>
      <c r="H202" s="27"/>
    </row>
    <row r="203">
      <c r="B203" s="27"/>
      <c r="C203" s="27"/>
      <c r="D203" s="191"/>
      <c r="G203" s="27"/>
      <c r="H203" s="27"/>
    </row>
    <row r="204">
      <c r="B204" s="27"/>
      <c r="C204" s="27"/>
      <c r="D204" s="191"/>
      <c r="G204" s="27"/>
      <c r="H204" s="27"/>
    </row>
    <row r="205">
      <c r="B205" s="27"/>
      <c r="C205" s="27"/>
      <c r="D205" s="191"/>
      <c r="G205" s="27"/>
      <c r="H205" s="27"/>
    </row>
    <row r="206">
      <c r="B206" s="27"/>
      <c r="C206" s="27"/>
      <c r="D206" s="191"/>
      <c r="G206" s="27"/>
      <c r="H206" s="27"/>
    </row>
    <row r="207">
      <c r="B207" s="27"/>
      <c r="C207" s="27"/>
      <c r="D207" s="191"/>
      <c r="G207" s="27"/>
      <c r="H207" s="27"/>
    </row>
    <row r="208">
      <c r="B208" s="27"/>
      <c r="C208" s="27"/>
      <c r="D208" s="191"/>
      <c r="G208" s="27"/>
      <c r="H208" s="27"/>
    </row>
    <row r="209">
      <c r="B209" s="27"/>
      <c r="C209" s="27"/>
      <c r="D209" s="191"/>
      <c r="G209" s="27"/>
      <c r="H209" s="27"/>
    </row>
    <row r="210">
      <c r="B210" s="27"/>
      <c r="C210" s="27"/>
      <c r="D210" s="191"/>
      <c r="G210" s="27"/>
      <c r="H210" s="27"/>
    </row>
    <row r="211">
      <c r="B211" s="27"/>
      <c r="C211" s="27"/>
      <c r="D211" s="191"/>
      <c r="G211" s="27"/>
      <c r="H211" s="27"/>
    </row>
    <row r="212">
      <c r="B212" s="27"/>
      <c r="C212" s="27"/>
      <c r="D212" s="191"/>
      <c r="G212" s="27"/>
      <c r="H212" s="27"/>
    </row>
    <row r="213">
      <c r="B213" s="27"/>
      <c r="C213" s="27"/>
      <c r="D213" s="191"/>
      <c r="G213" s="27"/>
      <c r="H213" s="27"/>
    </row>
    <row r="214">
      <c r="B214" s="27"/>
      <c r="C214" s="27"/>
      <c r="D214" s="191"/>
      <c r="G214" s="27"/>
      <c r="H214" s="27"/>
    </row>
    <row r="215">
      <c r="B215" s="27"/>
      <c r="C215" s="27"/>
      <c r="D215" s="191"/>
      <c r="G215" s="27"/>
      <c r="H215" s="27"/>
    </row>
    <row r="216">
      <c r="B216" s="27"/>
      <c r="C216" s="27"/>
      <c r="D216" s="191"/>
      <c r="G216" s="27"/>
      <c r="H216" s="27"/>
    </row>
    <row r="217">
      <c r="B217" s="27"/>
      <c r="C217" s="27"/>
      <c r="D217" s="191"/>
      <c r="G217" s="27"/>
      <c r="H217" s="27"/>
    </row>
    <row r="218">
      <c r="B218" s="27"/>
      <c r="C218" s="27"/>
      <c r="D218" s="191"/>
      <c r="G218" s="27"/>
      <c r="H218" s="27"/>
    </row>
    <row r="219">
      <c r="B219" s="27"/>
      <c r="C219" s="27"/>
      <c r="D219" s="191"/>
      <c r="G219" s="27"/>
      <c r="H219" s="27"/>
    </row>
    <row r="220">
      <c r="B220" s="27"/>
      <c r="C220" s="27"/>
      <c r="D220" s="191"/>
      <c r="G220" s="27"/>
      <c r="H220" s="27"/>
    </row>
    <row r="221">
      <c r="B221" s="27"/>
      <c r="C221" s="27"/>
      <c r="D221" s="191"/>
      <c r="G221" s="27"/>
      <c r="H221" s="27"/>
    </row>
    <row r="222">
      <c r="B222" s="27"/>
      <c r="C222" s="27"/>
      <c r="D222" s="191"/>
      <c r="G222" s="27"/>
      <c r="H222" s="27"/>
    </row>
    <row r="223">
      <c r="B223" s="27"/>
      <c r="C223" s="27"/>
      <c r="D223" s="191"/>
      <c r="G223" s="27"/>
      <c r="H223" s="27"/>
    </row>
    <row r="224">
      <c r="B224" s="27"/>
      <c r="C224" s="27"/>
      <c r="D224" s="191"/>
      <c r="G224" s="27"/>
      <c r="H224" s="27"/>
    </row>
    <row r="225">
      <c r="B225" s="27"/>
      <c r="C225" s="27"/>
      <c r="D225" s="191"/>
      <c r="G225" s="27"/>
      <c r="H225" s="27"/>
    </row>
    <row r="226">
      <c r="B226" s="27"/>
      <c r="C226" s="27"/>
      <c r="D226" s="191"/>
      <c r="G226" s="27"/>
      <c r="H226" s="27"/>
    </row>
    <row r="227">
      <c r="B227" s="27"/>
      <c r="C227" s="27"/>
      <c r="D227" s="191"/>
      <c r="G227" s="27"/>
      <c r="H227" s="27"/>
    </row>
    <row r="228">
      <c r="B228" s="27"/>
      <c r="C228" s="27"/>
      <c r="D228" s="191"/>
      <c r="G228" s="27"/>
      <c r="H228" s="27"/>
    </row>
    <row r="229">
      <c r="B229" s="27"/>
      <c r="C229" s="27"/>
      <c r="D229" s="191"/>
      <c r="G229" s="27"/>
      <c r="H229" s="27"/>
    </row>
    <row r="230">
      <c r="B230" s="27"/>
      <c r="C230" s="27"/>
      <c r="D230" s="191"/>
      <c r="G230" s="27"/>
      <c r="H230" s="27"/>
    </row>
    <row r="231">
      <c r="B231" s="27"/>
      <c r="C231" s="27"/>
      <c r="D231" s="191"/>
      <c r="G231" s="27"/>
      <c r="H231" s="27"/>
    </row>
    <row r="232">
      <c r="B232" s="27"/>
      <c r="C232" s="27"/>
      <c r="D232" s="191"/>
      <c r="G232" s="27"/>
      <c r="H232" s="27"/>
    </row>
    <row r="233">
      <c r="B233" s="27"/>
      <c r="C233" s="27"/>
      <c r="D233" s="191"/>
      <c r="G233" s="27"/>
      <c r="H233" s="27"/>
    </row>
    <row r="234">
      <c r="B234" s="27"/>
      <c r="C234" s="27"/>
      <c r="D234" s="191"/>
      <c r="G234" s="27"/>
      <c r="H234" s="27"/>
    </row>
    <row r="235">
      <c r="B235" s="27"/>
      <c r="C235" s="27"/>
      <c r="D235" s="191"/>
      <c r="G235" s="27"/>
      <c r="H235" s="27"/>
    </row>
    <row r="236">
      <c r="B236" s="27"/>
      <c r="C236" s="27"/>
      <c r="D236" s="191"/>
      <c r="G236" s="27"/>
      <c r="H236" s="27"/>
    </row>
    <row r="237">
      <c r="B237" s="27"/>
      <c r="C237" s="27"/>
      <c r="D237" s="191"/>
      <c r="G237" s="27"/>
      <c r="H237" s="27"/>
    </row>
    <row r="238">
      <c r="B238" s="27"/>
      <c r="C238" s="27"/>
      <c r="D238" s="191"/>
      <c r="G238" s="27"/>
      <c r="H238" s="27"/>
    </row>
    <row r="239">
      <c r="B239" s="27"/>
      <c r="C239" s="27"/>
      <c r="D239" s="191"/>
      <c r="G239" s="27"/>
      <c r="H239" s="27"/>
    </row>
    <row r="240">
      <c r="B240" s="27"/>
      <c r="C240" s="27"/>
      <c r="D240" s="191"/>
      <c r="G240" s="27"/>
      <c r="H240" s="27"/>
    </row>
    <row r="241">
      <c r="B241" s="27"/>
      <c r="C241" s="27"/>
      <c r="D241" s="191"/>
      <c r="G241" s="27"/>
      <c r="H241" s="27"/>
    </row>
    <row r="242">
      <c r="B242" s="27"/>
      <c r="C242" s="27"/>
      <c r="D242" s="191"/>
      <c r="G242" s="27"/>
      <c r="H242" s="27"/>
    </row>
    <row r="243">
      <c r="B243" s="27"/>
      <c r="C243" s="27"/>
      <c r="D243" s="191"/>
      <c r="G243" s="27"/>
      <c r="H243" s="27"/>
    </row>
    <row r="244">
      <c r="B244" s="27"/>
      <c r="C244" s="27"/>
      <c r="D244" s="191"/>
      <c r="G244" s="27"/>
      <c r="H244" s="27"/>
    </row>
    <row r="245">
      <c r="B245" s="27"/>
      <c r="C245" s="27"/>
      <c r="D245" s="191"/>
      <c r="G245" s="27"/>
      <c r="H245" s="27"/>
    </row>
    <row r="246">
      <c r="B246" s="27"/>
      <c r="C246" s="27"/>
      <c r="D246" s="191"/>
      <c r="G246" s="27"/>
      <c r="H246" s="27"/>
    </row>
    <row r="247">
      <c r="B247" s="27"/>
      <c r="C247" s="27"/>
      <c r="D247" s="191"/>
      <c r="G247" s="27"/>
      <c r="H247" s="27"/>
    </row>
    <row r="248">
      <c r="B248" s="27"/>
      <c r="C248" s="27"/>
      <c r="D248" s="191"/>
      <c r="G248" s="27"/>
      <c r="H248" s="27"/>
    </row>
    <row r="249">
      <c r="B249" s="27"/>
      <c r="C249" s="27"/>
      <c r="D249" s="191"/>
      <c r="G249" s="27"/>
      <c r="H249" s="27"/>
    </row>
    <row r="250">
      <c r="B250" s="27"/>
      <c r="C250" s="27"/>
      <c r="D250" s="191"/>
      <c r="G250" s="27"/>
      <c r="H250" s="27"/>
    </row>
    <row r="251">
      <c r="B251" s="27"/>
      <c r="C251" s="27"/>
      <c r="D251" s="191"/>
      <c r="G251" s="27"/>
      <c r="H251" s="27"/>
    </row>
    <row r="252">
      <c r="B252" s="27"/>
      <c r="C252" s="27"/>
      <c r="D252" s="191"/>
      <c r="G252" s="27"/>
      <c r="H252" s="27"/>
    </row>
    <row r="253">
      <c r="B253" s="27"/>
      <c r="C253" s="27"/>
      <c r="D253" s="191"/>
      <c r="G253" s="27"/>
      <c r="H253" s="27"/>
    </row>
    <row r="254">
      <c r="B254" s="27"/>
      <c r="C254" s="27"/>
      <c r="D254" s="191"/>
      <c r="G254" s="27"/>
      <c r="H254" s="27"/>
    </row>
    <row r="255">
      <c r="B255" s="27"/>
      <c r="C255" s="27"/>
      <c r="D255" s="191"/>
      <c r="G255" s="27"/>
      <c r="H255" s="27"/>
    </row>
    <row r="256">
      <c r="B256" s="27"/>
      <c r="C256" s="27"/>
      <c r="D256" s="191"/>
      <c r="G256" s="27"/>
      <c r="H256" s="27"/>
    </row>
    <row r="257">
      <c r="B257" s="27"/>
      <c r="C257" s="27"/>
      <c r="D257" s="191"/>
      <c r="G257" s="27"/>
      <c r="H257" s="27"/>
    </row>
    <row r="258">
      <c r="B258" s="27"/>
      <c r="C258" s="27"/>
      <c r="D258" s="191"/>
      <c r="G258" s="27"/>
      <c r="H258" s="27"/>
    </row>
    <row r="259">
      <c r="B259" s="27"/>
      <c r="C259" s="27"/>
      <c r="D259" s="191"/>
      <c r="G259" s="27"/>
      <c r="H259" s="27"/>
    </row>
    <row r="260">
      <c r="B260" s="27"/>
      <c r="C260" s="27"/>
      <c r="D260" s="191"/>
      <c r="G260" s="27"/>
      <c r="H260" s="27"/>
    </row>
    <row r="261">
      <c r="B261" s="27"/>
      <c r="C261" s="27"/>
      <c r="D261" s="191"/>
      <c r="G261" s="27"/>
      <c r="H261" s="27"/>
    </row>
    <row r="262">
      <c r="B262" s="27"/>
      <c r="C262" s="27"/>
      <c r="D262" s="191"/>
      <c r="G262" s="27"/>
      <c r="H262" s="27"/>
    </row>
    <row r="263">
      <c r="B263" s="27"/>
      <c r="C263" s="27"/>
      <c r="D263" s="191"/>
      <c r="G263" s="27"/>
      <c r="H263" s="27"/>
    </row>
    <row r="264">
      <c r="B264" s="27"/>
      <c r="C264" s="27"/>
      <c r="D264" s="191"/>
      <c r="G264" s="27"/>
      <c r="H264" s="27"/>
    </row>
    <row r="265">
      <c r="B265" s="27"/>
      <c r="C265" s="27"/>
      <c r="D265" s="191"/>
      <c r="G265" s="27"/>
      <c r="H265" s="27"/>
    </row>
    <row r="266">
      <c r="B266" s="27"/>
      <c r="C266" s="27"/>
      <c r="D266" s="191"/>
      <c r="G266" s="27"/>
      <c r="H266" s="27"/>
    </row>
    <row r="267">
      <c r="B267" s="27"/>
      <c r="C267" s="27"/>
      <c r="D267" s="191"/>
      <c r="G267" s="27"/>
      <c r="H267" s="27"/>
    </row>
    <row r="268">
      <c r="B268" s="27"/>
      <c r="C268" s="27"/>
      <c r="D268" s="191"/>
      <c r="G268" s="27"/>
      <c r="H268" s="27"/>
    </row>
    <row r="269">
      <c r="B269" s="27"/>
      <c r="C269" s="27"/>
      <c r="D269" s="191"/>
      <c r="G269" s="27"/>
      <c r="H269" s="27"/>
    </row>
    <row r="270">
      <c r="B270" s="27"/>
      <c r="C270" s="27"/>
      <c r="D270" s="191"/>
      <c r="G270" s="27"/>
      <c r="H270" s="27"/>
    </row>
    <row r="271">
      <c r="B271" s="27"/>
      <c r="C271" s="27"/>
      <c r="D271" s="191"/>
      <c r="G271" s="27"/>
      <c r="H271" s="27"/>
    </row>
    <row r="272">
      <c r="B272" s="27"/>
      <c r="C272" s="27"/>
      <c r="D272" s="191"/>
      <c r="G272" s="27"/>
      <c r="H272" s="27"/>
    </row>
    <row r="273">
      <c r="B273" s="27"/>
      <c r="C273" s="27"/>
      <c r="D273" s="191"/>
      <c r="G273" s="27"/>
      <c r="H273" s="27"/>
    </row>
    <row r="274">
      <c r="B274" s="27"/>
      <c r="C274" s="27"/>
      <c r="D274" s="191"/>
      <c r="G274" s="27"/>
      <c r="H274" s="27"/>
    </row>
    <row r="275">
      <c r="B275" s="27"/>
      <c r="C275" s="27"/>
      <c r="D275" s="191"/>
      <c r="G275" s="27"/>
      <c r="H275" s="27"/>
    </row>
    <row r="276">
      <c r="B276" s="27"/>
      <c r="C276" s="27"/>
      <c r="D276" s="191"/>
      <c r="G276" s="27"/>
      <c r="H276" s="27"/>
    </row>
    <row r="277">
      <c r="B277" s="27"/>
      <c r="C277" s="27"/>
      <c r="D277" s="191"/>
      <c r="G277" s="27"/>
      <c r="H277" s="27"/>
    </row>
    <row r="278">
      <c r="B278" s="27"/>
      <c r="C278" s="27"/>
      <c r="D278" s="191"/>
      <c r="G278" s="27"/>
      <c r="H278" s="27"/>
    </row>
    <row r="279">
      <c r="B279" s="27"/>
      <c r="C279" s="27"/>
      <c r="D279" s="191"/>
      <c r="G279" s="27"/>
      <c r="H279" s="27"/>
    </row>
    <row r="280">
      <c r="B280" s="27"/>
      <c r="C280" s="27"/>
      <c r="D280" s="191"/>
      <c r="G280" s="27"/>
      <c r="H280" s="27"/>
    </row>
    <row r="281">
      <c r="B281" s="27"/>
      <c r="C281" s="27"/>
      <c r="D281" s="191"/>
      <c r="G281" s="27"/>
      <c r="H281" s="27"/>
    </row>
    <row r="282">
      <c r="B282" s="27"/>
      <c r="C282" s="27"/>
      <c r="D282" s="191"/>
      <c r="G282" s="27"/>
      <c r="H282" s="27"/>
    </row>
    <row r="283">
      <c r="B283" s="27"/>
      <c r="C283" s="27"/>
      <c r="D283" s="191"/>
      <c r="G283" s="27"/>
      <c r="H283" s="27"/>
    </row>
    <row r="284">
      <c r="B284" s="27"/>
      <c r="C284" s="27"/>
      <c r="D284" s="191"/>
      <c r="G284" s="27"/>
      <c r="H284" s="27"/>
    </row>
    <row r="285">
      <c r="B285" s="27"/>
      <c r="C285" s="27"/>
      <c r="D285" s="191"/>
      <c r="G285" s="27"/>
      <c r="H285" s="27"/>
    </row>
    <row r="286">
      <c r="B286" s="27"/>
      <c r="C286" s="27"/>
      <c r="D286" s="191"/>
      <c r="G286" s="27"/>
      <c r="H286" s="27"/>
    </row>
    <row r="287">
      <c r="B287" s="27"/>
      <c r="C287" s="27"/>
      <c r="D287" s="191"/>
      <c r="G287" s="27"/>
      <c r="H287" s="27"/>
    </row>
    <row r="288">
      <c r="B288" s="27"/>
      <c r="C288" s="27"/>
      <c r="D288" s="191"/>
      <c r="G288" s="27"/>
      <c r="H288" s="27"/>
    </row>
    <row r="289">
      <c r="B289" s="27"/>
      <c r="C289" s="27"/>
      <c r="D289" s="191"/>
      <c r="G289" s="27"/>
      <c r="H289" s="27"/>
    </row>
    <row r="290">
      <c r="B290" s="27"/>
      <c r="C290" s="27"/>
      <c r="D290" s="191"/>
      <c r="G290" s="27"/>
      <c r="H290" s="27"/>
    </row>
    <row r="291">
      <c r="B291" s="27"/>
      <c r="C291" s="27"/>
      <c r="D291" s="191"/>
      <c r="G291" s="27"/>
      <c r="H291" s="27"/>
    </row>
    <row r="292">
      <c r="B292" s="27"/>
      <c r="C292" s="27"/>
      <c r="D292" s="191"/>
      <c r="G292" s="27"/>
      <c r="H292" s="27"/>
    </row>
    <row r="293">
      <c r="B293" s="27"/>
      <c r="C293" s="27"/>
      <c r="D293" s="191"/>
      <c r="G293" s="27"/>
      <c r="H293" s="27"/>
    </row>
    <row r="294">
      <c r="B294" s="27"/>
      <c r="C294" s="27"/>
      <c r="D294" s="191"/>
      <c r="G294" s="27"/>
      <c r="H294" s="27"/>
    </row>
    <row r="295">
      <c r="B295" s="27"/>
      <c r="C295" s="27"/>
      <c r="D295" s="191"/>
      <c r="G295" s="27"/>
      <c r="H295" s="27"/>
    </row>
    <row r="296">
      <c r="B296" s="27"/>
      <c r="C296" s="27"/>
      <c r="D296" s="191"/>
      <c r="G296" s="27"/>
      <c r="H296" s="27"/>
    </row>
    <row r="297">
      <c r="B297" s="27"/>
      <c r="C297" s="27"/>
      <c r="D297" s="191"/>
      <c r="G297" s="27"/>
      <c r="H297" s="27"/>
    </row>
    <row r="298">
      <c r="B298" s="27"/>
      <c r="C298" s="27"/>
      <c r="D298" s="191"/>
      <c r="G298" s="27"/>
      <c r="H298" s="27"/>
    </row>
    <row r="299">
      <c r="B299" s="27"/>
      <c r="C299" s="27"/>
      <c r="D299" s="191"/>
      <c r="G299" s="27"/>
      <c r="H299" s="27"/>
    </row>
    <row r="300">
      <c r="B300" s="27"/>
      <c r="C300" s="27"/>
      <c r="D300" s="191"/>
      <c r="G300" s="27"/>
      <c r="H300" s="27"/>
    </row>
    <row r="301">
      <c r="B301" s="27"/>
      <c r="C301" s="27"/>
      <c r="D301" s="191"/>
      <c r="G301" s="27"/>
      <c r="H301" s="27"/>
    </row>
    <row r="302">
      <c r="B302" s="27"/>
      <c r="C302" s="27"/>
      <c r="D302" s="191"/>
      <c r="G302" s="27"/>
      <c r="H302" s="27"/>
    </row>
    <row r="303">
      <c r="B303" s="27"/>
      <c r="C303" s="27"/>
      <c r="D303" s="191"/>
      <c r="G303" s="27"/>
      <c r="H303" s="27"/>
    </row>
    <row r="304">
      <c r="B304" s="27"/>
      <c r="C304" s="27"/>
      <c r="D304" s="191"/>
      <c r="G304" s="27"/>
      <c r="H304" s="27"/>
    </row>
    <row r="305">
      <c r="B305" s="27"/>
      <c r="C305" s="27"/>
      <c r="D305" s="191"/>
      <c r="G305" s="27"/>
      <c r="H305" s="27"/>
    </row>
    <row r="306">
      <c r="B306" s="27"/>
      <c r="C306" s="27"/>
      <c r="D306" s="191"/>
      <c r="G306" s="27"/>
      <c r="H306" s="27"/>
    </row>
    <row r="307">
      <c r="B307" s="27"/>
      <c r="C307" s="27"/>
      <c r="D307" s="191"/>
      <c r="G307" s="27"/>
      <c r="H307" s="27"/>
    </row>
    <row r="308">
      <c r="B308" s="27"/>
      <c r="C308" s="27"/>
      <c r="D308" s="191"/>
      <c r="G308" s="27"/>
      <c r="H308" s="27"/>
    </row>
    <row r="309">
      <c r="B309" s="27"/>
      <c r="C309" s="27"/>
      <c r="D309" s="191"/>
      <c r="G309" s="27"/>
      <c r="H309" s="27"/>
    </row>
    <row r="310">
      <c r="B310" s="27"/>
      <c r="C310" s="27"/>
      <c r="D310" s="191"/>
      <c r="G310" s="27"/>
      <c r="H310" s="27"/>
    </row>
    <row r="311">
      <c r="B311" s="27"/>
      <c r="C311" s="27"/>
      <c r="D311" s="191"/>
      <c r="G311" s="27"/>
      <c r="H311" s="27"/>
    </row>
    <row r="312">
      <c r="B312" s="27"/>
      <c r="C312" s="27"/>
      <c r="D312" s="191"/>
      <c r="G312" s="27"/>
      <c r="H312" s="27"/>
    </row>
    <row r="313">
      <c r="B313" s="27"/>
      <c r="C313" s="27"/>
      <c r="D313" s="191"/>
      <c r="G313" s="27"/>
      <c r="H313" s="27"/>
    </row>
    <row r="314">
      <c r="B314" s="27"/>
      <c r="C314" s="27"/>
      <c r="D314" s="191"/>
      <c r="G314" s="27"/>
      <c r="H314" s="27"/>
    </row>
    <row r="315">
      <c r="B315" s="27"/>
      <c r="C315" s="27"/>
      <c r="D315" s="191"/>
      <c r="G315" s="27"/>
      <c r="H315" s="27"/>
    </row>
    <row r="316">
      <c r="B316" s="27"/>
      <c r="C316" s="27"/>
      <c r="D316" s="191"/>
      <c r="G316" s="27"/>
      <c r="H316" s="27"/>
    </row>
    <row r="317">
      <c r="B317" s="27"/>
      <c r="C317" s="27"/>
      <c r="D317" s="191"/>
      <c r="G317" s="27"/>
      <c r="H317" s="27"/>
    </row>
    <row r="318">
      <c r="B318" s="27"/>
      <c r="C318" s="27"/>
      <c r="D318" s="191"/>
      <c r="G318" s="27"/>
      <c r="H318" s="27"/>
    </row>
    <row r="319">
      <c r="B319" s="27"/>
      <c r="C319" s="27"/>
      <c r="D319" s="191"/>
      <c r="G319" s="27"/>
      <c r="H319" s="27"/>
    </row>
    <row r="320">
      <c r="B320" s="27"/>
      <c r="C320" s="27"/>
      <c r="D320" s="191"/>
      <c r="G320" s="27"/>
      <c r="H320" s="27"/>
    </row>
    <row r="321">
      <c r="B321" s="27"/>
      <c r="C321" s="27"/>
      <c r="D321" s="191"/>
      <c r="G321" s="27"/>
      <c r="H321" s="27"/>
    </row>
    <row r="322">
      <c r="B322" s="27"/>
      <c r="C322" s="27"/>
      <c r="D322" s="191"/>
      <c r="G322" s="27"/>
      <c r="H322" s="27"/>
    </row>
    <row r="323">
      <c r="B323" s="27"/>
      <c r="C323" s="27"/>
      <c r="D323" s="191"/>
      <c r="G323" s="27"/>
      <c r="H323" s="27"/>
    </row>
    <row r="324">
      <c r="B324" s="27"/>
      <c r="C324" s="27"/>
      <c r="D324" s="191"/>
      <c r="G324" s="27"/>
      <c r="H324" s="27"/>
    </row>
    <row r="325">
      <c r="B325" s="27"/>
      <c r="C325" s="27"/>
      <c r="D325" s="191"/>
      <c r="G325" s="27"/>
      <c r="H325" s="27"/>
    </row>
    <row r="326">
      <c r="B326" s="27"/>
      <c r="C326" s="27"/>
      <c r="D326" s="191"/>
      <c r="G326" s="27"/>
      <c r="H326" s="27"/>
    </row>
    <row r="327">
      <c r="B327" s="27"/>
      <c r="C327" s="27"/>
      <c r="D327" s="191"/>
      <c r="G327" s="27"/>
      <c r="H327" s="27"/>
    </row>
    <row r="328">
      <c r="B328" s="27"/>
      <c r="C328" s="27"/>
      <c r="D328" s="191"/>
      <c r="G328" s="27"/>
      <c r="H328" s="27"/>
    </row>
    <row r="329">
      <c r="B329" s="27"/>
      <c r="C329" s="27"/>
      <c r="D329" s="191"/>
      <c r="G329" s="27"/>
      <c r="H329" s="27"/>
    </row>
    <row r="330">
      <c r="B330" s="27"/>
      <c r="C330" s="27"/>
      <c r="D330" s="191"/>
      <c r="G330" s="27"/>
      <c r="H330" s="27"/>
    </row>
    <row r="331">
      <c r="B331" s="27"/>
      <c r="C331" s="27"/>
      <c r="D331" s="191"/>
      <c r="G331" s="27"/>
      <c r="H331" s="27"/>
    </row>
    <row r="332">
      <c r="B332" s="27"/>
      <c r="C332" s="27"/>
      <c r="D332" s="191"/>
      <c r="G332" s="27"/>
      <c r="H332" s="27"/>
    </row>
    <row r="333">
      <c r="B333" s="27"/>
      <c r="C333" s="27"/>
      <c r="D333" s="191"/>
      <c r="G333" s="27"/>
      <c r="H333" s="27"/>
    </row>
    <row r="334">
      <c r="B334" s="27"/>
      <c r="C334" s="27"/>
      <c r="D334" s="191"/>
      <c r="G334" s="27"/>
      <c r="H334" s="27"/>
    </row>
    <row r="335">
      <c r="B335" s="27"/>
      <c r="C335" s="27"/>
      <c r="D335" s="191"/>
      <c r="G335" s="27"/>
      <c r="H335" s="27"/>
    </row>
    <row r="336">
      <c r="B336" s="27"/>
      <c r="C336" s="27"/>
      <c r="D336" s="191"/>
      <c r="G336" s="27"/>
      <c r="H336" s="27"/>
    </row>
    <row r="337">
      <c r="B337" s="27"/>
      <c r="C337" s="27"/>
      <c r="D337" s="191"/>
      <c r="G337" s="27"/>
      <c r="H337" s="27"/>
    </row>
    <row r="338">
      <c r="B338" s="27"/>
      <c r="C338" s="27"/>
      <c r="D338" s="191"/>
      <c r="G338" s="27"/>
      <c r="H338" s="27"/>
    </row>
    <row r="339">
      <c r="B339" s="27"/>
      <c r="C339" s="27"/>
      <c r="D339" s="191"/>
      <c r="G339" s="27"/>
      <c r="H339" s="27"/>
    </row>
    <row r="340">
      <c r="B340" s="27"/>
      <c r="C340" s="27"/>
      <c r="D340" s="191"/>
      <c r="G340" s="27"/>
      <c r="H340" s="27"/>
    </row>
    <row r="341">
      <c r="B341" s="27"/>
      <c r="C341" s="27"/>
      <c r="D341" s="191"/>
      <c r="G341" s="27"/>
      <c r="H341" s="27"/>
    </row>
    <row r="342">
      <c r="B342" s="27"/>
      <c r="C342" s="27"/>
      <c r="D342" s="191"/>
      <c r="G342" s="27"/>
      <c r="H342" s="27"/>
    </row>
    <row r="343">
      <c r="B343" s="27"/>
      <c r="C343" s="27"/>
      <c r="D343" s="191"/>
      <c r="G343" s="27"/>
      <c r="H343" s="27"/>
    </row>
    <row r="344">
      <c r="B344" s="27"/>
      <c r="C344" s="27"/>
      <c r="D344" s="191"/>
      <c r="G344" s="27"/>
      <c r="H344" s="27"/>
    </row>
    <row r="345">
      <c r="B345" s="27"/>
      <c r="C345" s="27"/>
      <c r="D345" s="191"/>
      <c r="G345" s="27"/>
      <c r="H345" s="27"/>
    </row>
    <row r="346">
      <c r="B346" s="27"/>
      <c r="C346" s="27"/>
      <c r="D346" s="191"/>
      <c r="G346" s="27"/>
      <c r="H346" s="27"/>
    </row>
    <row r="347">
      <c r="B347" s="27"/>
      <c r="C347" s="27"/>
      <c r="D347" s="191"/>
      <c r="G347" s="27"/>
      <c r="H347" s="27"/>
    </row>
    <row r="348">
      <c r="B348" s="27"/>
      <c r="C348" s="27"/>
      <c r="D348" s="191"/>
      <c r="G348" s="27"/>
      <c r="H348" s="27"/>
    </row>
    <row r="349">
      <c r="B349" s="27"/>
      <c r="C349" s="27"/>
      <c r="D349" s="191"/>
      <c r="G349" s="27"/>
      <c r="H349" s="27"/>
    </row>
    <row r="350">
      <c r="B350" s="27"/>
      <c r="C350" s="27"/>
      <c r="D350" s="191"/>
      <c r="G350" s="27"/>
      <c r="H350" s="27"/>
    </row>
    <row r="351">
      <c r="B351" s="27"/>
      <c r="C351" s="27"/>
      <c r="D351" s="191"/>
      <c r="G351" s="27"/>
      <c r="H351" s="27"/>
    </row>
    <row r="352">
      <c r="B352" s="27"/>
      <c r="C352" s="27"/>
      <c r="D352" s="191"/>
      <c r="G352" s="27"/>
      <c r="H352" s="27"/>
    </row>
    <row r="353">
      <c r="B353" s="27"/>
      <c r="C353" s="27"/>
      <c r="D353" s="191"/>
      <c r="G353" s="27"/>
      <c r="H353" s="27"/>
    </row>
    <row r="354">
      <c r="B354" s="27"/>
      <c r="C354" s="27"/>
      <c r="D354" s="191"/>
      <c r="G354" s="27"/>
      <c r="H354" s="27"/>
    </row>
    <row r="355">
      <c r="B355" s="27"/>
      <c r="C355" s="27"/>
      <c r="D355" s="191"/>
      <c r="G355" s="27"/>
      <c r="H355" s="27"/>
    </row>
    <row r="356">
      <c r="B356" s="27"/>
      <c r="C356" s="27"/>
      <c r="D356" s="191"/>
      <c r="G356" s="27"/>
      <c r="H356" s="27"/>
    </row>
    <row r="357">
      <c r="B357" s="27"/>
      <c r="C357" s="27"/>
      <c r="D357" s="191"/>
      <c r="G357" s="27"/>
      <c r="H357" s="27"/>
    </row>
    <row r="358">
      <c r="B358" s="27"/>
      <c r="C358" s="27"/>
      <c r="D358" s="191"/>
      <c r="G358" s="27"/>
      <c r="H358" s="27"/>
    </row>
    <row r="359">
      <c r="B359" s="27"/>
      <c r="C359" s="27"/>
      <c r="D359" s="191"/>
      <c r="G359" s="27"/>
      <c r="H359" s="27"/>
    </row>
    <row r="360">
      <c r="B360" s="27"/>
      <c r="C360" s="27"/>
      <c r="D360" s="191"/>
      <c r="G360" s="27"/>
      <c r="H360" s="27"/>
    </row>
    <row r="361">
      <c r="B361" s="27"/>
      <c r="C361" s="27"/>
      <c r="D361" s="191"/>
      <c r="G361" s="27"/>
      <c r="H361" s="27"/>
    </row>
    <row r="362">
      <c r="B362" s="27"/>
      <c r="C362" s="27"/>
      <c r="D362" s="191"/>
      <c r="G362" s="27"/>
      <c r="H362" s="27"/>
    </row>
    <row r="363">
      <c r="B363" s="27"/>
      <c r="C363" s="27"/>
      <c r="D363" s="191"/>
      <c r="G363" s="27"/>
      <c r="H363" s="27"/>
    </row>
    <row r="364">
      <c r="B364" s="27"/>
      <c r="C364" s="27"/>
      <c r="D364" s="191"/>
      <c r="G364" s="27"/>
      <c r="H364" s="27"/>
    </row>
    <row r="365">
      <c r="B365" s="27"/>
      <c r="C365" s="27"/>
      <c r="D365" s="191"/>
      <c r="G365" s="27"/>
      <c r="H365" s="27"/>
    </row>
    <row r="366">
      <c r="B366" s="27"/>
      <c r="C366" s="27"/>
      <c r="D366" s="191"/>
      <c r="G366" s="27"/>
      <c r="H366" s="27"/>
    </row>
    <row r="367">
      <c r="B367" s="27"/>
      <c r="C367" s="27"/>
      <c r="D367" s="191"/>
      <c r="G367" s="27"/>
      <c r="H367" s="27"/>
    </row>
    <row r="368">
      <c r="B368" s="27"/>
      <c r="C368" s="27"/>
      <c r="D368" s="191"/>
      <c r="G368" s="27"/>
      <c r="H368" s="27"/>
    </row>
    <row r="369">
      <c r="B369" s="27"/>
      <c r="C369" s="27"/>
      <c r="D369" s="191"/>
      <c r="G369" s="27"/>
      <c r="H369" s="27"/>
    </row>
    <row r="370">
      <c r="B370" s="27"/>
      <c r="C370" s="27"/>
      <c r="D370" s="191"/>
      <c r="G370" s="27"/>
      <c r="H370" s="27"/>
    </row>
    <row r="371">
      <c r="B371" s="27"/>
      <c r="C371" s="27"/>
      <c r="D371" s="191"/>
      <c r="G371" s="27"/>
      <c r="H371" s="27"/>
    </row>
    <row r="372">
      <c r="B372" s="27"/>
      <c r="C372" s="27"/>
      <c r="D372" s="191"/>
      <c r="G372" s="27"/>
      <c r="H372" s="27"/>
    </row>
    <row r="373">
      <c r="B373" s="27"/>
      <c r="C373" s="27"/>
      <c r="D373" s="191"/>
      <c r="G373" s="27"/>
      <c r="H373" s="27"/>
    </row>
    <row r="374">
      <c r="B374" s="27"/>
      <c r="C374" s="27"/>
      <c r="D374" s="191"/>
      <c r="G374" s="27"/>
      <c r="H374" s="27"/>
    </row>
    <row r="375">
      <c r="B375" s="27"/>
      <c r="C375" s="27"/>
      <c r="D375" s="191"/>
      <c r="G375" s="27"/>
      <c r="H375" s="27"/>
    </row>
    <row r="376">
      <c r="B376" s="27"/>
      <c r="C376" s="27"/>
      <c r="D376" s="191"/>
      <c r="G376" s="27"/>
      <c r="H376" s="27"/>
    </row>
    <row r="377">
      <c r="B377" s="27"/>
      <c r="C377" s="27"/>
      <c r="D377" s="191"/>
      <c r="G377" s="27"/>
      <c r="H377" s="27"/>
    </row>
    <row r="378">
      <c r="B378" s="27"/>
      <c r="C378" s="27"/>
      <c r="D378" s="191"/>
      <c r="G378" s="27"/>
      <c r="H378" s="27"/>
    </row>
    <row r="379">
      <c r="B379" s="27"/>
      <c r="C379" s="27"/>
      <c r="D379" s="191"/>
      <c r="G379" s="27"/>
      <c r="H379" s="27"/>
    </row>
    <row r="380">
      <c r="B380" s="27"/>
      <c r="C380" s="27"/>
      <c r="D380" s="191"/>
      <c r="G380" s="27"/>
      <c r="H380" s="27"/>
    </row>
    <row r="381">
      <c r="B381" s="27"/>
      <c r="C381" s="27"/>
      <c r="D381" s="191"/>
      <c r="G381" s="27"/>
      <c r="H381" s="27"/>
    </row>
    <row r="382">
      <c r="B382" s="27"/>
      <c r="C382" s="27"/>
      <c r="D382" s="191"/>
      <c r="G382" s="27"/>
      <c r="H382" s="27"/>
    </row>
    <row r="383">
      <c r="B383" s="27"/>
      <c r="C383" s="27"/>
      <c r="D383" s="191"/>
      <c r="G383" s="27"/>
      <c r="H383" s="27"/>
    </row>
    <row r="384">
      <c r="B384" s="27"/>
      <c r="C384" s="27"/>
      <c r="D384" s="191"/>
      <c r="G384" s="27"/>
      <c r="H384" s="27"/>
    </row>
    <row r="385">
      <c r="B385" s="27"/>
      <c r="C385" s="27"/>
      <c r="D385" s="191"/>
      <c r="G385" s="27"/>
      <c r="H385" s="27"/>
    </row>
    <row r="386">
      <c r="B386" s="27"/>
      <c r="C386" s="27"/>
      <c r="D386" s="191"/>
      <c r="G386" s="27"/>
      <c r="H386" s="27"/>
    </row>
    <row r="387">
      <c r="B387" s="27"/>
      <c r="C387" s="27"/>
      <c r="D387" s="191"/>
      <c r="G387" s="27"/>
      <c r="H387" s="27"/>
    </row>
    <row r="388">
      <c r="B388" s="27"/>
      <c r="C388" s="27"/>
      <c r="D388" s="191"/>
      <c r="G388" s="27"/>
      <c r="H388" s="27"/>
    </row>
    <row r="389">
      <c r="B389" s="27"/>
      <c r="C389" s="27"/>
      <c r="D389" s="191"/>
      <c r="G389" s="27"/>
      <c r="H389" s="27"/>
    </row>
    <row r="390">
      <c r="B390" s="27"/>
      <c r="C390" s="27"/>
      <c r="D390" s="191"/>
      <c r="G390" s="27"/>
      <c r="H390" s="27"/>
    </row>
    <row r="391">
      <c r="B391" s="27"/>
      <c r="C391" s="27"/>
      <c r="D391" s="191"/>
      <c r="G391" s="27"/>
      <c r="H391" s="27"/>
    </row>
    <row r="392">
      <c r="B392" s="27"/>
      <c r="C392" s="27"/>
      <c r="D392" s="191"/>
      <c r="G392" s="27"/>
      <c r="H392" s="27"/>
    </row>
    <row r="393">
      <c r="B393" s="27"/>
      <c r="C393" s="27"/>
      <c r="D393" s="191"/>
      <c r="G393" s="27"/>
      <c r="H393" s="27"/>
    </row>
    <row r="394">
      <c r="B394" s="27"/>
      <c r="C394" s="27"/>
      <c r="D394" s="191"/>
      <c r="G394" s="27"/>
      <c r="H394" s="27"/>
    </row>
    <row r="395">
      <c r="B395" s="27"/>
      <c r="C395" s="27"/>
      <c r="D395" s="191"/>
      <c r="G395" s="27"/>
      <c r="H395" s="27"/>
    </row>
    <row r="396">
      <c r="B396" s="27"/>
      <c r="C396" s="27"/>
      <c r="D396" s="191"/>
      <c r="G396" s="27"/>
      <c r="H396" s="27"/>
    </row>
    <row r="397">
      <c r="B397" s="27"/>
      <c r="C397" s="27"/>
      <c r="D397" s="191"/>
      <c r="G397" s="27"/>
      <c r="H397" s="27"/>
    </row>
    <row r="398">
      <c r="B398" s="27"/>
      <c r="C398" s="27"/>
      <c r="D398" s="191"/>
      <c r="G398" s="27"/>
      <c r="H398" s="27"/>
    </row>
    <row r="399">
      <c r="B399" s="27"/>
      <c r="C399" s="27"/>
      <c r="D399" s="191"/>
      <c r="G399" s="27"/>
      <c r="H399" s="27"/>
    </row>
    <row r="400">
      <c r="B400" s="27"/>
      <c r="C400" s="27"/>
      <c r="D400" s="191"/>
      <c r="G400" s="27"/>
      <c r="H400" s="27"/>
    </row>
    <row r="401">
      <c r="B401" s="27"/>
      <c r="C401" s="27"/>
      <c r="D401" s="191"/>
      <c r="G401" s="27"/>
      <c r="H401" s="27"/>
    </row>
    <row r="402">
      <c r="B402" s="27"/>
      <c r="C402" s="27"/>
      <c r="D402" s="191"/>
      <c r="G402" s="27"/>
      <c r="H402" s="27"/>
    </row>
    <row r="403">
      <c r="B403" s="27"/>
      <c r="C403" s="27"/>
      <c r="D403" s="191"/>
      <c r="G403" s="27"/>
      <c r="H403" s="27"/>
    </row>
    <row r="404">
      <c r="B404" s="27"/>
      <c r="C404" s="27"/>
      <c r="D404" s="191"/>
      <c r="G404" s="27"/>
      <c r="H404" s="27"/>
    </row>
    <row r="405">
      <c r="B405" s="27"/>
      <c r="C405" s="27"/>
      <c r="D405" s="191"/>
      <c r="G405" s="27"/>
      <c r="H405" s="27"/>
    </row>
    <row r="406">
      <c r="B406" s="27"/>
      <c r="C406" s="27"/>
      <c r="D406" s="191"/>
      <c r="G406" s="27"/>
      <c r="H406" s="27"/>
    </row>
    <row r="407">
      <c r="B407" s="27"/>
      <c r="C407" s="27"/>
      <c r="D407" s="191"/>
      <c r="G407" s="27"/>
      <c r="H407" s="27"/>
    </row>
    <row r="408">
      <c r="B408" s="27"/>
      <c r="C408" s="27"/>
      <c r="D408" s="191"/>
      <c r="G408" s="27"/>
      <c r="H408" s="27"/>
    </row>
    <row r="409">
      <c r="B409" s="27"/>
      <c r="C409" s="27"/>
      <c r="D409" s="191"/>
      <c r="G409" s="27"/>
      <c r="H409" s="27"/>
    </row>
    <row r="410">
      <c r="B410" s="27"/>
      <c r="C410" s="27"/>
      <c r="D410" s="191"/>
      <c r="G410" s="27"/>
      <c r="H410" s="27"/>
    </row>
    <row r="411">
      <c r="B411" s="27"/>
      <c r="C411" s="27"/>
      <c r="D411" s="191"/>
      <c r="G411" s="27"/>
      <c r="H411" s="27"/>
    </row>
    <row r="412">
      <c r="B412" s="27"/>
      <c r="C412" s="27"/>
      <c r="D412" s="191"/>
      <c r="G412" s="27"/>
      <c r="H412" s="27"/>
    </row>
    <row r="413">
      <c r="B413" s="27"/>
      <c r="C413" s="27"/>
      <c r="D413" s="191"/>
      <c r="G413" s="27"/>
      <c r="H413" s="27"/>
    </row>
    <row r="414">
      <c r="B414" s="27"/>
      <c r="C414" s="27"/>
      <c r="D414" s="191"/>
      <c r="G414" s="27"/>
      <c r="H414" s="27"/>
    </row>
    <row r="415">
      <c r="B415" s="27"/>
      <c r="C415" s="27"/>
      <c r="D415" s="191"/>
      <c r="G415" s="27"/>
      <c r="H415" s="27"/>
    </row>
    <row r="416">
      <c r="B416" s="27"/>
      <c r="C416" s="27"/>
      <c r="D416" s="191"/>
      <c r="G416" s="27"/>
      <c r="H416" s="27"/>
    </row>
    <row r="417">
      <c r="B417" s="27"/>
      <c r="C417" s="27"/>
      <c r="D417" s="191"/>
      <c r="G417" s="27"/>
      <c r="H417" s="27"/>
    </row>
    <row r="418">
      <c r="B418" s="27"/>
      <c r="C418" s="27"/>
      <c r="D418" s="191"/>
      <c r="G418" s="27"/>
      <c r="H418" s="27"/>
    </row>
    <row r="419">
      <c r="B419" s="27"/>
      <c r="C419" s="27"/>
      <c r="D419" s="191"/>
      <c r="G419" s="27"/>
      <c r="H419" s="27"/>
    </row>
    <row r="420">
      <c r="B420" s="27"/>
      <c r="C420" s="27"/>
      <c r="D420" s="191"/>
      <c r="G420" s="27"/>
      <c r="H420" s="27"/>
    </row>
    <row r="421">
      <c r="B421" s="27"/>
      <c r="C421" s="27"/>
      <c r="D421" s="191"/>
      <c r="G421" s="27"/>
      <c r="H421" s="27"/>
    </row>
    <row r="422">
      <c r="B422" s="27"/>
      <c r="C422" s="27"/>
      <c r="D422" s="191"/>
      <c r="G422" s="27"/>
      <c r="H422" s="27"/>
    </row>
    <row r="423">
      <c r="B423" s="27"/>
      <c r="C423" s="27"/>
      <c r="D423" s="191"/>
      <c r="G423" s="27"/>
      <c r="H423" s="27"/>
    </row>
    <row r="424">
      <c r="B424" s="27"/>
      <c r="C424" s="27"/>
      <c r="D424" s="191"/>
      <c r="G424" s="27"/>
      <c r="H424" s="27"/>
    </row>
    <row r="425">
      <c r="B425" s="27"/>
      <c r="C425" s="27"/>
      <c r="D425" s="191"/>
      <c r="G425" s="27"/>
      <c r="H425" s="27"/>
    </row>
    <row r="426">
      <c r="B426" s="27"/>
      <c r="C426" s="27"/>
      <c r="D426" s="191"/>
      <c r="G426" s="27"/>
      <c r="H426" s="27"/>
    </row>
    <row r="427">
      <c r="B427" s="27"/>
      <c r="C427" s="27"/>
      <c r="D427" s="191"/>
      <c r="G427" s="27"/>
      <c r="H427" s="27"/>
    </row>
    <row r="428">
      <c r="B428" s="27"/>
      <c r="C428" s="27"/>
      <c r="D428" s="191"/>
      <c r="G428" s="27"/>
      <c r="H428" s="27"/>
    </row>
    <row r="429">
      <c r="B429" s="27"/>
      <c r="C429" s="27"/>
      <c r="D429" s="191"/>
      <c r="G429" s="27"/>
      <c r="H429" s="27"/>
    </row>
    <row r="430">
      <c r="B430" s="27"/>
      <c r="C430" s="27"/>
      <c r="D430" s="191"/>
      <c r="G430" s="27"/>
      <c r="H430" s="27"/>
    </row>
    <row r="431">
      <c r="B431" s="27"/>
      <c r="C431" s="27"/>
      <c r="D431" s="191"/>
      <c r="G431" s="27"/>
      <c r="H431" s="27"/>
    </row>
    <row r="432">
      <c r="B432" s="27"/>
      <c r="C432" s="27"/>
      <c r="D432" s="191"/>
      <c r="G432" s="27"/>
      <c r="H432" s="27"/>
    </row>
    <row r="433">
      <c r="B433" s="27"/>
      <c r="C433" s="27"/>
      <c r="D433" s="191"/>
      <c r="G433" s="27"/>
      <c r="H433" s="27"/>
    </row>
    <row r="434">
      <c r="B434" s="27"/>
      <c r="C434" s="27"/>
      <c r="D434" s="191"/>
      <c r="G434" s="27"/>
      <c r="H434" s="27"/>
    </row>
    <row r="435">
      <c r="B435" s="27"/>
      <c r="C435" s="27"/>
      <c r="D435" s="191"/>
      <c r="G435" s="27"/>
      <c r="H435" s="27"/>
    </row>
    <row r="436">
      <c r="B436" s="27"/>
      <c r="C436" s="27"/>
      <c r="D436" s="191"/>
      <c r="G436" s="27"/>
      <c r="H436" s="27"/>
    </row>
    <row r="437">
      <c r="B437" s="27"/>
      <c r="C437" s="27"/>
      <c r="D437" s="191"/>
      <c r="G437" s="27"/>
      <c r="H437" s="27"/>
    </row>
    <row r="438">
      <c r="B438" s="27"/>
      <c r="C438" s="27"/>
      <c r="D438" s="191"/>
      <c r="G438" s="27"/>
      <c r="H438" s="27"/>
    </row>
    <row r="439">
      <c r="B439" s="27"/>
      <c r="C439" s="27"/>
      <c r="D439" s="191"/>
      <c r="G439" s="27"/>
      <c r="H439" s="27"/>
    </row>
    <row r="440">
      <c r="B440" s="27"/>
      <c r="C440" s="27"/>
      <c r="D440" s="191"/>
      <c r="G440" s="27"/>
      <c r="H440" s="27"/>
    </row>
    <row r="441">
      <c r="B441" s="27"/>
      <c r="C441" s="27"/>
      <c r="D441" s="191"/>
      <c r="G441" s="27"/>
      <c r="H441" s="27"/>
    </row>
    <row r="442">
      <c r="B442" s="27"/>
      <c r="C442" s="27"/>
      <c r="D442" s="191"/>
      <c r="G442" s="27"/>
      <c r="H442" s="27"/>
    </row>
    <row r="443">
      <c r="B443" s="27"/>
      <c r="C443" s="27"/>
      <c r="D443" s="191"/>
      <c r="G443" s="27"/>
      <c r="H443" s="27"/>
    </row>
    <row r="444">
      <c r="B444" s="27"/>
      <c r="C444" s="27"/>
      <c r="D444" s="191"/>
      <c r="G444" s="27"/>
      <c r="H444" s="27"/>
    </row>
    <row r="445">
      <c r="B445" s="27"/>
      <c r="C445" s="27"/>
      <c r="D445" s="191"/>
      <c r="G445" s="27"/>
      <c r="H445" s="27"/>
    </row>
    <row r="446">
      <c r="B446" s="27"/>
      <c r="C446" s="27"/>
      <c r="D446" s="191"/>
      <c r="G446" s="27"/>
      <c r="H446" s="27"/>
    </row>
    <row r="447">
      <c r="B447" s="27"/>
      <c r="C447" s="27"/>
      <c r="D447" s="191"/>
      <c r="G447" s="27"/>
      <c r="H447" s="27"/>
    </row>
    <row r="448">
      <c r="B448" s="27"/>
      <c r="C448" s="27"/>
      <c r="D448" s="191"/>
      <c r="G448" s="27"/>
      <c r="H448" s="27"/>
    </row>
    <row r="449">
      <c r="B449" s="27"/>
      <c r="C449" s="27"/>
      <c r="D449" s="191"/>
      <c r="G449" s="27"/>
      <c r="H449" s="27"/>
    </row>
    <row r="450">
      <c r="B450" s="27"/>
      <c r="C450" s="27"/>
      <c r="D450" s="191"/>
      <c r="G450" s="27"/>
      <c r="H450" s="27"/>
    </row>
    <row r="451">
      <c r="B451" s="27"/>
      <c r="C451" s="27"/>
      <c r="D451" s="191"/>
      <c r="G451" s="27"/>
      <c r="H451" s="27"/>
    </row>
    <row r="452">
      <c r="B452" s="27"/>
      <c r="C452" s="27"/>
      <c r="D452" s="191"/>
      <c r="G452" s="27"/>
      <c r="H452" s="27"/>
    </row>
    <row r="453">
      <c r="B453" s="27"/>
      <c r="C453" s="27"/>
      <c r="D453" s="191"/>
      <c r="G453" s="27"/>
      <c r="H453" s="27"/>
    </row>
    <row r="454">
      <c r="B454" s="27"/>
      <c r="C454" s="27"/>
      <c r="D454" s="191"/>
      <c r="G454" s="27"/>
      <c r="H454" s="27"/>
    </row>
    <row r="455">
      <c r="B455" s="27"/>
      <c r="C455" s="27"/>
      <c r="D455" s="191"/>
      <c r="G455" s="27"/>
      <c r="H455" s="27"/>
    </row>
    <row r="456">
      <c r="B456" s="27"/>
      <c r="C456" s="27"/>
      <c r="D456" s="191"/>
      <c r="G456" s="27"/>
      <c r="H456" s="27"/>
    </row>
    <row r="457">
      <c r="B457" s="27"/>
      <c r="C457" s="27"/>
      <c r="D457" s="191"/>
      <c r="G457" s="27"/>
      <c r="H457" s="27"/>
    </row>
    <row r="458">
      <c r="B458" s="27"/>
      <c r="C458" s="27"/>
      <c r="D458" s="191"/>
      <c r="G458" s="27"/>
      <c r="H458" s="27"/>
    </row>
    <row r="459">
      <c r="B459" s="27"/>
      <c r="C459" s="27"/>
      <c r="D459" s="191"/>
      <c r="G459" s="27"/>
      <c r="H459" s="27"/>
    </row>
    <row r="460">
      <c r="B460" s="27"/>
      <c r="C460" s="27"/>
      <c r="D460" s="191"/>
      <c r="G460" s="27"/>
      <c r="H460" s="27"/>
    </row>
    <row r="461">
      <c r="B461" s="27"/>
      <c r="C461" s="27"/>
      <c r="D461" s="191"/>
      <c r="G461" s="27"/>
      <c r="H461" s="27"/>
    </row>
    <row r="462">
      <c r="B462" s="27"/>
      <c r="C462" s="27"/>
      <c r="D462" s="191"/>
      <c r="G462" s="27"/>
      <c r="H462" s="27"/>
    </row>
    <row r="463">
      <c r="B463" s="27"/>
      <c r="C463" s="27"/>
      <c r="D463" s="191"/>
      <c r="G463" s="27"/>
      <c r="H463" s="27"/>
    </row>
    <row r="464">
      <c r="B464" s="27"/>
      <c r="C464" s="27"/>
      <c r="D464" s="191"/>
      <c r="G464" s="27"/>
      <c r="H464" s="27"/>
    </row>
    <row r="465">
      <c r="B465" s="27"/>
      <c r="C465" s="27"/>
      <c r="D465" s="191"/>
      <c r="G465" s="27"/>
      <c r="H465" s="27"/>
    </row>
    <row r="466">
      <c r="B466" s="27"/>
      <c r="C466" s="27"/>
      <c r="D466" s="191"/>
      <c r="G466" s="27"/>
      <c r="H466" s="27"/>
    </row>
    <row r="467">
      <c r="B467" s="27"/>
      <c r="C467" s="27"/>
      <c r="D467" s="191"/>
      <c r="G467" s="27"/>
      <c r="H467" s="27"/>
    </row>
    <row r="468">
      <c r="B468" s="27"/>
      <c r="C468" s="27"/>
      <c r="D468" s="191"/>
      <c r="G468" s="27"/>
      <c r="H468" s="27"/>
    </row>
    <row r="469">
      <c r="B469" s="27"/>
      <c r="C469" s="27"/>
      <c r="D469" s="191"/>
      <c r="G469" s="27"/>
      <c r="H469" s="27"/>
    </row>
    <row r="470">
      <c r="B470" s="27"/>
      <c r="C470" s="27"/>
      <c r="D470" s="191"/>
      <c r="G470" s="27"/>
      <c r="H470" s="27"/>
    </row>
    <row r="471">
      <c r="B471" s="27"/>
      <c r="C471" s="27"/>
      <c r="D471" s="191"/>
      <c r="G471" s="27"/>
      <c r="H471" s="27"/>
    </row>
    <row r="472">
      <c r="B472" s="27"/>
      <c r="C472" s="27"/>
      <c r="D472" s="191"/>
      <c r="G472" s="27"/>
      <c r="H472" s="27"/>
    </row>
    <row r="473">
      <c r="B473" s="27"/>
      <c r="C473" s="27"/>
      <c r="D473" s="191"/>
      <c r="G473" s="27"/>
      <c r="H473" s="27"/>
    </row>
    <row r="474">
      <c r="B474" s="27"/>
      <c r="C474" s="27"/>
      <c r="D474" s="191"/>
      <c r="G474" s="27"/>
      <c r="H474" s="27"/>
    </row>
    <row r="475">
      <c r="B475" s="27"/>
      <c r="C475" s="27"/>
      <c r="D475" s="191"/>
      <c r="G475" s="27"/>
      <c r="H475" s="27"/>
    </row>
    <row r="476">
      <c r="B476" s="27"/>
      <c r="C476" s="27"/>
      <c r="D476" s="191"/>
      <c r="G476" s="27"/>
      <c r="H476" s="27"/>
    </row>
    <row r="477">
      <c r="B477" s="27"/>
      <c r="C477" s="27"/>
      <c r="D477" s="191"/>
      <c r="G477" s="27"/>
      <c r="H477" s="27"/>
    </row>
    <row r="478">
      <c r="B478" s="27"/>
      <c r="C478" s="27"/>
      <c r="D478" s="191"/>
      <c r="G478" s="27"/>
      <c r="H478" s="27"/>
    </row>
    <row r="479">
      <c r="B479" s="27"/>
      <c r="C479" s="27"/>
      <c r="D479" s="191"/>
      <c r="G479" s="27"/>
      <c r="H479" s="27"/>
    </row>
    <row r="480">
      <c r="B480" s="27"/>
      <c r="C480" s="27"/>
      <c r="D480" s="191"/>
      <c r="G480" s="27"/>
      <c r="H480" s="27"/>
    </row>
    <row r="481">
      <c r="B481" s="27"/>
      <c r="C481" s="27"/>
      <c r="D481" s="191"/>
      <c r="G481" s="27"/>
      <c r="H481" s="27"/>
    </row>
    <row r="482">
      <c r="B482" s="27"/>
      <c r="C482" s="27"/>
      <c r="D482" s="191"/>
      <c r="G482" s="27"/>
      <c r="H482" s="27"/>
    </row>
    <row r="483">
      <c r="B483" s="27"/>
      <c r="C483" s="27"/>
      <c r="D483" s="191"/>
      <c r="G483" s="27"/>
      <c r="H483" s="27"/>
    </row>
    <row r="484">
      <c r="B484" s="27"/>
      <c r="C484" s="27"/>
      <c r="D484" s="191"/>
      <c r="G484" s="27"/>
      <c r="H484" s="27"/>
    </row>
    <row r="485">
      <c r="B485" s="27"/>
      <c r="C485" s="27"/>
      <c r="D485" s="191"/>
      <c r="G485" s="27"/>
      <c r="H485" s="27"/>
    </row>
    <row r="486">
      <c r="B486" s="27"/>
      <c r="C486" s="27"/>
      <c r="D486" s="191"/>
      <c r="G486" s="27"/>
      <c r="H486" s="27"/>
    </row>
    <row r="487">
      <c r="B487" s="27"/>
      <c r="C487" s="27"/>
      <c r="D487" s="191"/>
      <c r="G487" s="27"/>
      <c r="H487" s="27"/>
    </row>
    <row r="488">
      <c r="B488" s="27"/>
      <c r="C488" s="27"/>
      <c r="D488" s="191"/>
      <c r="G488" s="27"/>
      <c r="H488" s="27"/>
    </row>
    <row r="489">
      <c r="B489" s="27"/>
      <c r="C489" s="27"/>
      <c r="D489" s="191"/>
      <c r="G489" s="27"/>
      <c r="H489" s="27"/>
    </row>
    <row r="490">
      <c r="B490" s="27"/>
      <c r="C490" s="27"/>
      <c r="D490" s="191"/>
      <c r="G490" s="27"/>
      <c r="H490" s="27"/>
    </row>
    <row r="491">
      <c r="B491" s="27"/>
      <c r="C491" s="27"/>
      <c r="D491" s="191"/>
      <c r="G491" s="27"/>
      <c r="H491" s="27"/>
    </row>
    <row r="492">
      <c r="B492" s="27"/>
      <c r="C492" s="27"/>
      <c r="D492" s="191"/>
      <c r="G492" s="27"/>
      <c r="H492" s="27"/>
    </row>
    <row r="493">
      <c r="B493" s="27"/>
      <c r="C493" s="27"/>
      <c r="D493" s="191"/>
      <c r="G493" s="27"/>
      <c r="H493" s="27"/>
    </row>
    <row r="494">
      <c r="B494" s="27"/>
      <c r="C494" s="27"/>
      <c r="D494" s="191"/>
      <c r="G494" s="27"/>
      <c r="H494" s="27"/>
    </row>
    <row r="495">
      <c r="B495" s="27"/>
      <c r="C495" s="27"/>
      <c r="D495" s="191"/>
      <c r="G495" s="27"/>
      <c r="H495" s="27"/>
    </row>
    <row r="496">
      <c r="B496" s="27"/>
      <c r="C496" s="27"/>
      <c r="D496" s="191"/>
      <c r="G496" s="27"/>
      <c r="H496" s="27"/>
    </row>
    <row r="497">
      <c r="B497" s="27"/>
      <c r="C497" s="27"/>
      <c r="D497" s="191"/>
      <c r="G497" s="27"/>
      <c r="H497" s="27"/>
    </row>
    <row r="498">
      <c r="B498" s="27"/>
      <c r="C498" s="27"/>
      <c r="D498" s="191"/>
      <c r="G498" s="27"/>
      <c r="H498" s="27"/>
    </row>
    <row r="499">
      <c r="B499" s="27"/>
      <c r="C499" s="27"/>
      <c r="D499" s="191"/>
      <c r="G499" s="27"/>
      <c r="H499" s="27"/>
    </row>
    <row r="500">
      <c r="B500" s="27"/>
      <c r="C500" s="27"/>
      <c r="D500" s="191"/>
      <c r="G500" s="27"/>
      <c r="H500" s="27"/>
    </row>
    <row r="501">
      <c r="B501" s="27"/>
      <c r="C501" s="27"/>
      <c r="D501" s="191"/>
      <c r="G501" s="27"/>
      <c r="H501" s="27"/>
    </row>
    <row r="502">
      <c r="B502" s="27"/>
      <c r="C502" s="27"/>
      <c r="D502" s="191"/>
      <c r="G502" s="27"/>
      <c r="H502" s="27"/>
    </row>
    <row r="503">
      <c r="B503" s="27"/>
      <c r="C503" s="27"/>
      <c r="D503" s="191"/>
      <c r="G503" s="27"/>
      <c r="H503" s="27"/>
    </row>
    <row r="504">
      <c r="B504" s="27"/>
      <c r="C504" s="27"/>
      <c r="D504" s="191"/>
      <c r="G504" s="27"/>
      <c r="H504" s="27"/>
    </row>
    <row r="505">
      <c r="B505" s="27"/>
      <c r="C505" s="27"/>
      <c r="D505" s="191"/>
      <c r="G505" s="27"/>
      <c r="H505" s="27"/>
    </row>
    <row r="506">
      <c r="B506" s="27"/>
      <c r="C506" s="27"/>
      <c r="D506" s="191"/>
      <c r="G506" s="27"/>
      <c r="H506" s="27"/>
    </row>
    <row r="507">
      <c r="B507" s="27"/>
      <c r="C507" s="27"/>
      <c r="D507" s="191"/>
      <c r="G507" s="27"/>
      <c r="H507" s="27"/>
    </row>
    <row r="508">
      <c r="B508" s="27"/>
      <c r="C508" s="27"/>
      <c r="D508" s="191"/>
      <c r="G508" s="27"/>
      <c r="H508" s="27"/>
    </row>
    <row r="509">
      <c r="B509" s="27"/>
      <c r="C509" s="27"/>
      <c r="D509" s="191"/>
      <c r="G509" s="27"/>
      <c r="H509" s="27"/>
    </row>
    <row r="510">
      <c r="B510" s="27"/>
      <c r="C510" s="27"/>
      <c r="D510" s="191"/>
      <c r="G510" s="27"/>
      <c r="H510" s="27"/>
    </row>
    <row r="511">
      <c r="B511" s="27"/>
      <c r="C511" s="27"/>
      <c r="D511" s="191"/>
      <c r="G511" s="27"/>
      <c r="H511" s="27"/>
    </row>
    <row r="512">
      <c r="B512" s="27"/>
      <c r="C512" s="27"/>
      <c r="D512" s="191"/>
      <c r="G512" s="27"/>
      <c r="H512" s="27"/>
    </row>
    <row r="513">
      <c r="B513" s="27"/>
      <c r="C513" s="27"/>
      <c r="D513" s="191"/>
      <c r="G513" s="27"/>
      <c r="H513" s="27"/>
    </row>
    <row r="514">
      <c r="B514" s="27"/>
      <c r="C514" s="27"/>
      <c r="D514" s="191"/>
      <c r="G514" s="27"/>
      <c r="H514" s="27"/>
    </row>
    <row r="515">
      <c r="B515" s="27"/>
      <c r="C515" s="27"/>
      <c r="D515" s="191"/>
      <c r="G515" s="27"/>
      <c r="H515" s="27"/>
    </row>
    <row r="516">
      <c r="B516" s="27"/>
      <c r="C516" s="27"/>
      <c r="D516" s="191"/>
      <c r="G516" s="27"/>
      <c r="H516" s="27"/>
    </row>
    <row r="517">
      <c r="B517" s="27"/>
      <c r="C517" s="27"/>
      <c r="D517" s="191"/>
      <c r="G517" s="27"/>
      <c r="H517" s="27"/>
    </row>
    <row r="518">
      <c r="B518" s="27"/>
      <c r="C518" s="27"/>
      <c r="D518" s="191"/>
      <c r="G518" s="27"/>
      <c r="H518" s="27"/>
    </row>
    <row r="519">
      <c r="B519" s="27"/>
      <c r="C519" s="27"/>
      <c r="D519" s="191"/>
      <c r="G519" s="27"/>
      <c r="H519" s="27"/>
    </row>
    <row r="520">
      <c r="B520" s="27"/>
      <c r="C520" s="27"/>
      <c r="D520" s="191"/>
      <c r="G520" s="27"/>
      <c r="H520" s="27"/>
    </row>
    <row r="521">
      <c r="B521" s="27"/>
      <c r="C521" s="27"/>
      <c r="D521" s="191"/>
      <c r="G521" s="27"/>
      <c r="H521" s="27"/>
    </row>
    <row r="522">
      <c r="B522" s="27"/>
      <c r="C522" s="27"/>
      <c r="D522" s="191"/>
      <c r="G522" s="27"/>
      <c r="H522" s="27"/>
    </row>
    <row r="523">
      <c r="B523" s="27"/>
      <c r="C523" s="27"/>
      <c r="D523" s="191"/>
      <c r="G523" s="27"/>
      <c r="H523" s="27"/>
    </row>
    <row r="524">
      <c r="B524" s="27"/>
      <c r="C524" s="27"/>
      <c r="D524" s="191"/>
      <c r="G524" s="27"/>
      <c r="H524" s="27"/>
    </row>
    <row r="525">
      <c r="B525" s="27"/>
      <c r="C525" s="27"/>
      <c r="D525" s="191"/>
      <c r="G525" s="27"/>
      <c r="H525" s="27"/>
    </row>
    <row r="526">
      <c r="B526" s="27"/>
      <c r="C526" s="27"/>
      <c r="D526" s="191"/>
      <c r="G526" s="27"/>
      <c r="H526" s="27"/>
    </row>
    <row r="527">
      <c r="B527" s="27"/>
      <c r="C527" s="27"/>
      <c r="D527" s="191"/>
      <c r="G527" s="27"/>
      <c r="H527" s="27"/>
    </row>
    <row r="528">
      <c r="B528" s="27"/>
      <c r="C528" s="27"/>
      <c r="D528" s="191"/>
      <c r="G528" s="27"/>
      <c r="H528" s="27"/>
    </row>
    <row r="529">
      <c r="B529" s="27"/>
      <c r="C529" s="27"/>
      <c r="D529" s="191"/>
      <c r="G529" s="27"/>
      <c r="H529" s="27"/>
    </row>
    <row r="530">
      <c r="B530" s="27"/>
      <c r="C530" s="27"/>
      <c r="D530" s="191"/>
      <c r="G530" s="27"/>
      <c r="H530" s="27"/>
    </row>
    <row r="531">
      <c r="B531" s="27"/>
      <c r="C531" s="27"/>
      <c r="D531" s="191"/>
      <c r="G531" s="27"/>
      <c r="H531" s="27"/>
    </row>
    <row r="532">
      <c r="B532" s="27"/>
      <c r="C532" s="27"/>
      <c r="D532" s="191"/>
      <c r="G532" s="27"/>
      <c r="H532" s="27"/>
    </row>
    <row r="533">
      <c r="B533" s="27"/>
      <c r="C533" s="27"/>
      <c r="D533" s="191"/>
      <c r="G533" s="27"/>
      <c r="H533" s="27"/>
    </row>
    <row r="534">
      <c r="B534" s="27"/>
      <c r="C534" s="27"/>
      <c r="D534" s="191"/>
      <c r="G534" s="27"/>
      <c r="H534" s="27"/>
    </row>
    <row r="535">
      <c r="B535" s="27"/>
      <c r="C535" s="27"/>
      <c r="D535" s="191"/>
      <c r="G535" s="27"/>
      <c r="H535" s="27"/>
    </row>
    <row r="536">
      <c r="B536" s="27"/>
      <c r="C536" s="27"/>
      <c r="D536" s="191"/>
      <c r="G536" s="27"/>
      <c r="H536" s="27"/>
    </row>
    <row r="537">
      <c r="B537" s="27"/>
      <c r="C537" s="27"/>
      <c r="D537" s="191"/>
      <c r="G537" s="27"/>
      <c r="H537" s="27"/>
    </row>
    <row r="538">
      <c r="B538" s="27"/>
      <c r="C538" s="27"/>
      <c r="D538" s="191"/>
      <c r="G538" s="27"/>
      <c r="H538" s="27"/>
    </row>
    <row r="539">
      <c r="B539" s="27"/>
      <c r="C539" s="27"/>
      <c r="D539" s="191"/>
      <c r="G539" s="27"/>
      <c r="H539" s="27"/>
    </row>
    <row r="540">
      <c r="B540" s="27"/>
      <c r="C540" s="27"/>
      <c r="D540" s="191"/>
      <c r="G540" s="27"/>
      <c r="H540" s="27"/>
    </row>
    <row r="541">
      <c r="B541" s="27"/>
      <c r="C541" s="27"/>
      <c r="D541" s="191"/>
      <c r="G541" s="27"/>
      <c r="H541" s="27"/>
    </row>
    <row r="542">
      <c r="B542" s="27"/>
      <c r="C542" s="27"/>
      <c r="D542" s="191"/>
      <c r="G542" s="27"/>
      <c r="H542" s="27"/>
    </row>
    <row r="543">
      <c r="B543" s="27"/>
      <c r="C543" s="27"/>
      <c r="D543" s="191"/>
      <c r="G543" s="27"/>
      <c r="H543" s="27"/>
    </row>
    <row r="544">
      <c r="B544" s="27"/>
      <c r="C544" s="27"/>
      <c r="D544" s="191"/>
      <c r="G544" s="27"/>
      <c r="H544" s="27"/>
    </row>
    <row r="545">
      <c r="B545" s="27"/>
      <c r="C545" s="27"/>
      <c r="D545" s="191"/>
      <c r="G545" s="27"/>
      <c r="H545" s="27"/>
    </row>
    <row r="546">
      <c r="B546" s="27"/>
      <c r="C546" s="27"/>
      <c r="D546" s="191"/>
      <c r="G546" s="27"/>
      <c r="H546" s="27"/>
    </row>
    <row r="547">
      <c r="B547" s="27"/>
      <c r="C547" s="27"/>
      <c r="D547" s="191"/>
      <c r="G547" s="27"/>
      <c r="H547" s="27"/>
    </row>
    <row r="548">
      <c r="B548" s="27"/>
      <c r="C548" s="27"/>
      <c r="D548" s="191"/>
      <c r="G548" s="27"/>
      <c r="H548" s="27"/>
    </row>
    <row r="549">
      <c r="B549" s="27"/>
      <c r="C549" s="27"/>
      <c r="D549" s="191"/>
      <c r="G549" s="27"/>
      <c r="H549" s="27"/>
    </row>
    <row r="550">
      <c r="B550" s="27"/>
      <c r="C550" s="27"/>
      <c r="D550" s="191"/>
      <c r="G550" s="27"/>
      <c r="H550" s="27"/>
    </row>
    <row r="551">
      <c r="B551" s="27"/>
      <c r="C551" s="27"/>
      <c r="D551" s="191"/>
      <c r="G551" s="27"/>
      <c r="H551" s="27"/>
    </row>
    <row r="552">
      <c r="B552" s="27"/>
      <c r="C552" s="27"/>
      <c r="D552" s="191"/>
      <c r="G552" s="27"/>
      <c r="H552" s="27"/>
    </row>
    <row r="553">
      <c r="B553" s="27"/>
      <c r="C553" s="27"/>
      <c r="D553" s="191"/>
      <c r="G553" s="27"/>
      <c r="H553" s="27"/>
    </row>
    <row r="554">
      <c r="B554" s="27"/>
      <c r="C554" s="27"/>
      <c r="D554" s="191"/>
      <c r="G554" s="27"/>
      <c r="H554" s="27"/>
    </row>
    <row r="555">
      <c r="B555" s="27"/>
      <c r="C555" s="27"/>
      <c r="D555" s="191"/>
      <c r="G555" s="27"/>
      <c r="H555" s="27"/>
    </row>
    <row r="556">
      <c r="B556" s="27"/>
      <c r="C556" s="27"/>
      <c r="D556" s="191"/>
      <c r="G556" s="27"/>
      <c r="H556" s="27"/>
    </row>
    <row r="557">
      <c r="B557" s="27"/>
      <c r="C557" s="27"/>
      <c r="D557" s="191"/>
      <c r="G557" s="27"/>
      <c r="H557" s="27"/>
    </row>
    <row r="558">
      <c r="B558" s="27"/>
      <c r="C558" s="27"/>
      <c r="D558" s="191"/>
      <c r="G558" s="27"/>
      <c r="H558" s="27"/>
    </row>
    <row r="559">
      <c r="B559" s="27"/>
      <c r="C559" s="27"/>
      <c r="D559" s="191"/>
      <c r="G559" s="27"/>
      <c r="H559" s="27"/>
    </row>
    <row r="560">
      <c r="B560" s="27"/>
      <c r="C560" s="27"/>
      <c r="D560" s="191"/>
      <c r="G560" s="27"/>
      <c r="H560" s="27"/>
    </row>
    <row r="561">
      <c r="B561" s="27"/>
      <c r="C561" s="27"/>
      <c r="D561" s="191"/>
      <c r="G561" s="27"/>
      <c r="H561" s="27"/>
    </row>
    <row r="562">
      <c r="B562" s="27"/>
      <c r="C562" s="27"/>
      <c r="D562" s="191"/>
      <c r="G562" s="27"/>
      <c r="H562" s="27"/>
    </row>
    <row r="563">
      <c r="B563" s="27"/>
      <c r="C563" s="27"/>
      <c r="D563" s="191"/>
      <c r="G563" s="27"/>
      <c r="H563" s="27"/>
    </row>
    <row r="564">
      <c r="B564" s="27"/>
      <c r="C564" s="27"/>
      <c r="D564" s="191"/>
      <c r="G564" s="27"/>
      <c r="H564" s="27"/>
    </row>
    <row r="565">
      <c r="B565" s="27"/>
      <c r="C565" s="27"/>
      <c r="D565" s="191"/>
      <c r="G565" s="27"/>
      <c r="H565" s="27"/>
    </row>
    <row r="566">
      <c r="B566" s="27"/>
      <c r="C566" s="27"/>
      <c r="D566" s="191"/>
      <c r="G566" s="27"/>
      <c r="H566" s="27"/>
    </row>
    <row r="567">
      <c r="B567" s="27"/>
      <c r="C567" s="27"/>
      <c r="D567" s="191"/>
      <c r="G567" s="27"/>
      <c r="H567" s="27"/>
    </row>
    <row r="568">
      <c r="B568" s="27"/>
      <c r="C568" s="27"/>
      <c r="D568" s="191"/>
      <c r="G568" s="27"/>
      <c r="H568" s="27"/>
    </row>
    <row r="569">
      <c r="B569" s="27"/>
      <c r="C569" s="27"/>
      <c r="D569" s="191"/>
      <c r="G569" s="27"/>
      <c r="H569" s="27"/>
    </row>
    <row r="570">
      <c r="B570" s="27"/>
      <c r="C570" s="27"/>
      <c r="D570" s="191"/>
      <c r="G570" s="27"/>
      <c r="H570" s="27"/>
    </row>
    <row r="571">
      <c r="B571" s="27"/>
      <c r="C571" s="27"/>
      <c r="D571" s="191"/>
      <c r="G571" s="27"/>
      <c r="H571" s="27"/>
    </row>
    <row r="572">
      <c r="B572" s="27"/>
      <c r="C572" s="27"/>
      <c r="D572" s="191"/>
      <c r="G572" s="27"/>
      <c r="H572" s="27"/>
    </row>
    <row r="573">
      <c r="B573" s="27"/>
      <c r="C573" s="27"/>
      <c r="D573" s="191"/>
      <c r="G573" s="27"/>
      <c r="H573" s="27"/>
    </row>
    <row r="574">
      <c r="B574" s="27"/>
      <c r="C574" s="27"/>
      <c r="D574" s="191"/>
      <c r="G574" s="27"/>
      <c r="H574" s="27"/>
    </row>
    <row r="575">
      <c r="B575" s="27"/>
      <c r="C575" s="27"/>
      <c r="D575" s="191"/>
      <c r="G575" s="27"/>
      <c r="H575" s="27"/>
    </row>
    <row r="576">
      <c r="B576" s="27"/>
      <c r="C576" s="27"/>
      <c r="D576" s="191"/>
      <c r="G576" s="27"/>
      <c r="H576" s="27"/>
    </row>
    <row r="577">
      <c r="B577" s="27"/>
      <c r="C577" s="27"/>
      <c r="D577" s="191"/>
      <c r="G577" s="27"/>
      <c r="H577" s="27"/>
    </row>
    <row r="578">
      <c r="B578" s="27"/>
      <c r="C578" s="27"/>
      <c r="D578" s="191"/>
      <c r="G578" s="27"/>
      <c r="H578" s="27"/>
    </row>
    <row r="579">
      <c r="B579" s="27"/>
      <c r="C579" s="27"/>
      <c r="D579" s="191"/>
      <c r="G579" s="27"/>
      <c r="H579" s="27"/>
    </row>
    <row r="580">
      <c r="B580" s="27"/>
      <c r="C580" s="27"/>
      <c r="D580" s="191"/>
      <c r="G580" s="27"/>
      <c r="H580" s="27"/>
    </row>
    <row r="581">
      <c r="B581" s="27"/>
      <c r="C581" s="27"/>
      <c r="D581" s="191"/>
      <c r="G581" s="27"/>
      <c r="H581" s="27"/>
    </row>
    <row r="582">
      <c r="B582" s="27"/>
      <c r="C582" s="27"/>
      <c r="D582" s="191"/>
      <c r="G582" s="27"/>
      <c r="H582" s="27"/>
    </row>
    <row r="583">
      <c r="B583" s="27"/>
      <c r="C583" s="27"/>
      <c r="D583" s="191"/>
      <c r="G583" s="27"/>
      <c r="H583" s="27"/>
    </row>
    <row r="584">
      <c r="B584" s="27"/>
      <c r="C584" s="27"/>
      <c r="D584" s="191"/>
      <c r="G584" s="27"/>
      <c r="H584" s="27"/>
    </row>
    <row r="585">
      <c r="B585" s="27"/>
      <c r="C585" s="27"/>
      <c r="D585" s="191"/>
      <c r="G585" s="27"/>
      <c r="H585" s="27"/>
    </row>
    <row r="586">
      <c r="B586" s="27"/>
      <c r="C586" s="27"/>
      <c r="D586" s="191"/>
      <c r="G586" s="27"/>
      <c r="H586" s="27"/>
    </row>
    <row r="587">
      <c r="B587" s="27"/>
      <c r="C587" s="27"/>
      <c r="D587" s="191"/>
      <c r="G587" s="27"/>
      <c r="H587" s="27"/>
    </row>
    <row r="588">
      <c r="B588" s="27"/>
      <c r="C588" s="27"/>
      <c r="D588" s="191"/>
      <c r="G588" s="27"/>
      <c r="H588" s="27"/>
    </row>
    <row r="589">
      <c r="B589" s="27"/>
      <c r="C589" s="27"/>
      <c r="D589" s="191"/>
      <c r="G589" s="27"/>
      <c r="H589" s="27"/>
    </row>
    <row r="590">
      <c r="B590" s="27"/>
      <c r="C590" s="27"/>
      <c r="D590" s="191"/>
      <c r="G590" s="27"/>
      <c r="H590" s="27"/>
    </row>
    <row r="591">
      <c r="B591" s="27"/>
      <c r="C591" s="27"/>
      <c r="D591" s="191"/>
      <c r="G591" s="27"/>
      <c r="H591" s="27"/>
    </row>
    <row r="592">
      <c r="B592" s="27"/>
      <c r="C592" s="27"/>
      <c r="D592" s="191"/>
      <c r="G592" s="27"/>
      <c r="H592" s="27"/>
    </row>
    <row r="593">
      <c r="B593" s="27"/>
      <c r="C593" s="27"/>
      <c r="D593" s="191"/>
      <c r="G593" s="27"/>
      <c r="H593" s="27"/>
    </row>
    <row r="594">
      <c r="B594" s="27"/>
      <c r="C594" s="27"/>
      <c r="D594" s="191"/>
      <c r="G594" s="27"/>
      <c r="H594" s="27"/>
    </row>
    <row r="595">
      <c r="B595" s="27"/>
      <c r="C595" s="27"/>
      <c r="D595" s="191"/>
      <c r="G595" s="27"/>
      <c r="H595" s="27"/>
    </row>
    <row r="596">
      <c r="B596" s="27"/>
      <c r="C596" s="27"/>
      <c r="D596" s="191"/>
      <c r="G596" s="27"/>
      <c r="H596" s="27"/>
    </row>
    <row r="597">
      <c r="B597" s="27"/>
      <c r="C597" s="27"/>
      <c r="D597" s="191"/>
      <c r="G597" s="27"/>
      <c r="H597" s="27"/>
    </row>
    <row r="598">
      <c r="B598" s="27"/>
      <c r="C598" s="27"/>
      <c r="D598" s="191"/>
      <c r="G598" s="27"/>
      <c r="H598" s="27"/>
    </row>
    <row r="599">
      <c r="B599" s="27"/>
      <c r="C599" s="27"/>
      <c r="D599" s="191"/>
      <c r="G599" s="27"/>
      <c r="H599" s="27"/>
    </row>
    <row r="600">
      <c r="B600" s="27"/>
      <c r="C600" s="27"/>
      <c r="D600" s="191"/>
      <c r="G600" s="27"/>
      <c r="H600" s="27"/>
    </row>
    <row r="601">
      <c r="B601" s="27"/>
      <c r="C601" s="27"/>
      <c r="D601" s="191"/>
      <c r="G601" s="27"/>
      <c r="H601" s="27"/>
    </row>
    <row r="602">
      <c r="B602" s="27"/>
      <c r="C602" s="27"/>
      <c r="D602" s="191"/>
      <c r="G602" s="27"/>
      <c r="H602" s="27"/>
    </row>
    <row r="603">
      <c r="B603" s="27"/>
      <c r="C603" s="27"/>
      <c r="D603" s="191"/>
      <c r="G603" s="27"/>
      <c r="H603" s="27"/>
    </row>
    <row r="604">
      <c r="B604" s="27"/>
      <c r="C604" s="27"/>
      <c r="D604" s="191"/>
      <c r="G604" s="27"/>
      <c r="H604" s="27"/>
    </row>
    <row r="605">
      <c r="B605" s="27"/>
      <c r="C605" s="27"/>
      <c r="D605" s="191"/>
      <c r="G605" s="27"/>
      <c r="H605" s="27"/>
    </row>
    <row r="606">
      <c r="B606" s="27"/>
      <c r="C606" s="27"/>
      <c r="D606" s="191"/>
      <c r="G606" s="27"/>
      <c r="H606" s="27"/>
    </row>
    <row r="607">
      <c r="B607" s="27"/>
      <c r="C607" s="27"/>
      <c r="D607" s="191"/>
      <c r="G607" s="27"/>
      <c r="H607" s="27"/>
    </row>
    <row r="608">
      <c r="B608" s="27"/>
      <c r="C608" s="27"/>
      <c r="D608" s="191"/>
      <c r="G608" s="27"/>
      <c r="H608" s="27"/>
    </row>
    <row r="609">
      <c r="B609" s="27"/>
      <c r="C609" s="27"/>
      <c r="D609" s="191"/>
      <c r="G609" s="27"/>
      <c r="H609" s="27"/>
    </row>
    <row r="610">
      <c r="B610" s="27"/>
      <c r="C610" s="27"/>
      <c r="D610" s="191"/>
      <c r="G610" s="27"/>
      <c r="H610" s="27"/>
    </row>
    <row r="611">
      <c r="B611" s="27"/>
      <c r="C611" s="27"/>
      <c r="D611" s="191"/>
      <c r="G611" s="27"/>
      <c r="H611" s="27"/>
    </row>
    <row r="612">
      <c r="B612" s="27"/>
      <c r="C612" s="27"/>
      <c r="D612" s="191"/>
      <c r="G612" s="27"/>
      <c r="H612" s="27"/>
    </row>
    <row r="613">
      <c r="B613" s="27"/>
      <c r="C613" s="27"/>
      <c r="D613" s="191"/>
      <c r="G613" s="27"/>
      <c r="H613" s="27"/>
    </row>
    <row r="614">
      <c r="B614" s="27"/>
      <c r="C614" s="27"/>
      <c r="D614" s="191"/>
      <c r="G614" s="27"/>
      <c r="H614" s="27"/>
    </row>
    <row r="615">
      <c r="B615" s="27"/>
      <c r="C615" s="27"/>
      <c r="D615" s="191"/>
      <c r="G615" s="27"/>
      <c r="H615" s="27"/>
    </row>
    <row r="616">
      <c r="B616" s="27"/>
      <c r="C616" s="27"/>
      <c r="D616" s="191"/>
      <c r="G616" s="27"/>
      <c r="H616" s="27"/>
    </row>
    <row r="617">
      <c r="B617" s="27"/>
      <c r="C617" s="27"/>
      <c r="D617" s="191"/>
      <c r="G617" s="27"/>
      <c r="H617" s="27"/>
    </row>
    <row r="618">
      <c r="B618" s="27"/>
      <c r="C618" s="27"/>
      <c r="D618" s="191"/>
      <c r="G618" s="27"/>
      <c r="H618" s="27"/>
    </row>
    <row r="619">
      <c r="B619" s="27"/>
      <c r="C619" s="27"/>
      <c r="D619" s="191"/>
      <c r="G619" s="27"/>
      <c r="H619" s="27"/>
    </row>
    <row r="620">
      <c r="B620" s="27"/>
      <c r="C620" s="27"/>
      <c r="D620" s="191"/>
      <c r="G620" s="27"/>
      <c r="H620" s="27"/>
    </row>
    <row r="621">
      <c r="B621" s="27"/>
      <c r="C621" s="27"/>
      <c r="D621" s="191"/>
      <c r="G621" s="27"/>
      <c r="H621" s="27"/>
    </row>
    <row r="622">
      <c r="B622" s="27"/>
      <c r="C622" s="27"/>
      <c r="D622" s="191"/>
      <c r="G622" s="27"/>
      <c r="H622" s="27"/>
    </row>
    <row r="623">
      <c r="B623" s="27"/>
      <c r="C623" s="27"/>
      <c r="D623" s="191"/>
      <c r="G623" s="27"/>
      <c r="H623" s="27"/>
    </row>
    <row r="624">
      <c r="B624" s="27"/>
      <c r="C624" s="27"/>
      <c r="D624" s="191"/>
      <c r="G624" s="27"/>
      <c r="H624" s="27"/>
    </row>
    <row r="625">
      <c r="B625" s="27"/>
      <c r="C625" s="27"/>
      <c r="D625" s="191"/>
      <c r="G625" s="27"/>
      <c r="H625" s="27"/>
    </row>
    <row r="626">
      <c r="B626" s="27"/>
      <c r="C626" s="27"/>
      <c r="D626" s="191"/>
      <c r="G626" s="27"/>
      <c r="H626" s="27"/>
    </row>
    <row r="627">
      <c r="B627" s="27"/>
      <c r="C627" s="27"/>
      <c r="D627" s="191"/>
      <c r="G627" s="27"/>
      <c r="H627" s="27"/>
    </row>
    <row r="628">
      <c r="B628" s="27"/>
      <c r="C628" s="27"/>
      <c r="D628" s="191"/>
      <c r="G628" s="27"/>
      <c r="H628" s="27"/>
    </row>
    <row r="629">
      <c r="B629" s="27"/>
      <c r="C629" s="27"/>
      <c r="D629" s="191"/>
      <c r="G629" s="27"/>
      <c r="H629" s="27"/>
    </row>
    <row r="630">
      <c r="B630" s="27"/>
      <c r="C630" s="27"/>
      <c r="D630" s="191"/>
      <c r="G630" s="27"/>
      <c r="H630" s="27"/>
    </row>
    <row r="631">
      <c r="B631" s="27"/>
      <c r="C631" s="27"/>
      <c r="D631" s="191"/>
      <c r="G631" s="27"/>
      <c r="H631" s="27"/>
    </row>
    <row r="632">
      <c r="B632" s="27"/>
      <c r="C632" s="27"/>
      <c r="D632" s="191"/>
      <c r="G632" s="27"/>
      <c r="H632" s="27"/>
    </row>
    <row r="633">
      <c r="B633" s="27"/>
      <c r="C633" s="27"/>
      <c r="D633" s="191"/>
      <c r="G633" s="27"/>
      <c r="H633" s="27"/>
    </row>
    <row r="634">
      <c r="B634" s="27"/>
      <c r="C634" s="27"/>
      <c r="D634" s="191"/>
      <c r="G634" s="27"/>
      <c r="H634" s="27"/>
    </row>
    <row r="635">
      <c r="B635" s="27"/>
      <c r="C635" s="27"/>
      <c r="D635" s="191"/>
      <c r="G635" s="27"/>
      <c r="H635" s="27"/>
    </row>
    <row r="636">
      <c r="B636" s="27"/>
      <c r="C636" s="27"/>
      <c r="D636" s="191"/>
      <c r="G636" s="27"/>
      <c r="H636" s="27"/>
    </row>
    <row r="637">
      <c r="B637" s="27"/>
      <c r="C637" s="27"/>
      <c r="D637" s="191"/>
      <c r="G637" s="27"/>
      <c r="H637" s="27"/>
    </row>
    <row r="638">
      <c r="B638" s="27"/>
      <c r="C638" s="27"/>
      <c r="D638" s="191"/>
      <c r="G638" s="27"/>
      <c r="H638" s="27"/>
    </row>
    <row r="639">
      <c r="B639" s="27"/>
      <c r="C639" s="27"/>
      <c r="D639" s="191"/>
      <c r="G639" s="27"/>
      <c r="H639" s="27"/>
    </row>
    <row r="640">
      <c r="B640" s="27"/>
      <c r="C640" s="27"/>
      <c r="D640" s="191"/>
      <c r="G640" s="27"/>
      <c r="H640" s="27"/>
    </row>
    <row r="641">
      <c r="B641" s="27"/>
      <c r="C641" s="27"/>
      <c r="D641" s="191"/>
      <c r="G641" s="27"/>
      <c r="H641" s="27"/>
    </row>
    <row r="642">
      <c r="B642" s="27"/>
      <c r="C642" s="27"/>
      <c r="D642" s="191"/>
      <c r="G642" s="27"/>
      <c r="H642" s="27"/>
    </row>
    <row r="643">
      <c r="B643" s="27"/>
      <c r="C643" s="27"/>
      <c r="D643" s="191"/>
      <c r="G643" s="27"/>
      <c r="H643" s="27"/>
    </row>
    <row r="644">
      <c r="B644" s="27"/>
      <c r="C644" s="27"/>
      <c r="D644" s="191"/>
      <c r="G644" s="27"/>
      <c r="H644" s="27"/>
    </row>
    <row r="645">
      <c r="B645" s="27"/>
      <c r="C645" s="27"/>
      <c r="D645" s="191"/>
      <c r="G645" s="27"/>
      <c r="H645" s="27"/>
    </row>
    <row r="646">
      <c r="B646" s="27"/>
      <c r="C646" s="27"/>
      <c r="D646" s="191"/>
      <c r="G646" s="27"/>
      <c r="H646" s="27"/>
    </row>
    <row r="647">
      <c r="B647" s="27"/>
      <c r="C647" s="27"/>
      <c r="D647" s="191"/>
      <c r="G647" s="27"/>
      <c r="H647" s="27"/>
    </row>
    <row r="648">
      <c r="B648" s="27"/>
      <c r="C648" s="27"/>
      <c r="D648" s="191"/>
      <c r="G648" s="27"/>
      <c r="H648" s="27"/>
    </row>
    <row r="649">
      <c r="B649" s="27"/>
      <c r="C649" s="27"/>
      <c r="D649" s="191"/>
      <c r="G649" s="27"/>
      <c r="H649" s="27"/>
    </row>
    <row r="650">
      <c r="B650" s="27"/>
      <c r="C650" s="27"/>
      <c r="D650" s="191"/>
      <c r="G650" s="27"/>
      <c r="H650" s="27"/>
    </row>
    <row r="651">
      <c r="B651" s="27"/>
      <c r="C651" s="27"/>
      <c r="D651" s="191"/>
      <c r="G651" s="27"/>
      <c r="H651" s="27"/>
    </row>
    <row r="652">
      <c r="B652" s="27"/>
      <c r="C652" s="27"/>
      <c r="D652" s="191"/>
      <c r="G652" s="27"/>
      <c r="H652" s="27"/>
    </row>
    <row r="653">
      <c r="B653" s="27"/>
      <c r="C653" s="27"/>
      <c r="D653" s="191"/>
      <c r="G653" s="27"/>
      <c r="H653" s="27"/>
    </row>
    <row r="654">
      <c r="B654" s="27"/>
      <c r="C654" s="27"/>
      <c r="D654" s="191"/>
      <c r="G654" s="27"/>
      <c r="H654" s="27"/>
    </row>
    <row r="655">
      <c r="B655" s="27"/>
      <c r="C655" s="27"/>
      <c r="D655" s="191"/>
      <c r="G655" s="27"/>
      <c r="H655" s="27"/>
    </row>
    <row r="656">
      <c r="B656" s="27"/>
      <c r="C656" s="27"/>
      <c r="D656" s="191"/>
      <c r="G656" s="27"/>
      <c r="H656" s="27"/>
    </row>
    <row r="657">
      <c r="B657" s="27"/>
      <c r="C657" s="27"/>
      <c r="D657" s="191"/>
      <c r="G657" s="27"/>
      <c r="H657" s="27"/>
    </row>
    <row r="658">
      <c r="B658" s="27"/>
      <c r="C658" s="27"/>
      <c r="D658" s="191"/>
      <c r="G658" s="27"/>
      <c r="H658" s="27"/>
    </row>
    <row r="659">
      <c r="B659" s="27"/>
      <c r="C659" s="27"/>
      <c r="D659" s="191"/>
      <c r="G659" s="27"/>
      <c r="H659" s="27"/>
    </row>
    <row r="660">
      <c r="B660" s="27"/>
      <c r="C660" s="27"/>
      <c r="D660" s="191"/>
      <c r="G660" s="27"/>
      <c r="H660" s="27"/>
    </row>
    <row r="661">
      <c r="B661" s="27"/>
      <c r="C661" s="27"/>
      <c r="D661" s="191"/>
      <c r="G661" s="27"/>
      <c r="H661" s="27"/>
    </row>
    <row r="662">
      <c r="B662" s="27"/>
      <c r="C662" s="27"/>
      <c r="D662" s="191"/>
      <c r="G662" s="27"/>
      <c r="H662" s="27"/>
    </row>
    <row r="663">
      <c r="B663" s="27"/>
      <c r="C663" s="27"/>
      <c r="D663" s="191"/>
      <c r="G663" s="27"/>
      <c r="H663" s="27"/>
    </row>
    <row r="664">
      <c r="B664" s="27"/>
      <c r="C664" s="27"/>
      <c r="D664" s="191"/>
      <c r="G664" s="27"/>
      <c r="H664" s="27"/>
    </row>
    <row r="665">
      <c r="B665" s="27"/>
      <c r="C665" s="27"/>
      <c r="D665" s="191"/>
      <c r="G665" s="27"/>
      <c r="H665" s="27"/>
    </row>
    <row r="666">
      <c r="B666" s="27"/>
      <c r="C666" s="27"/>
      <c r="D666" s="191"/>
      <c r="G666" s="27"/>
      <c r="H666" s="27"/>
    </row>
    <row r="667">
      <c r="B667" s="27"/>
      <c r="C667" s="27"/>
      <c r="D667" s="191"/>
      <c r="G667" s="27"/>
      <c r="H667" s="27"/>
    </row>
    <row r="668">
      <c r="B668" s="27"/>
      <c r="C668" s="27"/>
      <c r="D668" s="191"/>
      <c r="G668" s="27"/>
      <c r="H668" s="27"/>
    </row>
    <row r="669">
      <c r="B669" s="27"/>
      <c r="C669" s="27"/>
      <c r="D669" s="191"/>
      <c r="G669" s="27"/>
      <c r="H669" s="27"/>
    </row>
    <row r="670">
      <c r="B670" s="27"/>
      <c r="C670" s="27"/>
      <c r="D670" s="191"/>
      <c r="G670" s="27"/>
      <c r="H670" s="27"/>
    </row>
    <row r="671">
      <c r="B671" s="27"/>
      <c r="C671" s="27"/>
      <c r="D671" s="191"/>
      <c r="G671" s="27"/>
      <c r="H671" s="27"/>
    </row>
    <row r="672">
      <c r="B672" s="27"/>
      <c r="C672" s="27"/>
      <c r="D672" s="191"/>
      <c r="G672" s="27"/>
      <c r="H672" s="27"/>
    </row>
    <row r="673">
      <c r="B673" s="27"/>
      <c r="C673" s="27"/>
      <c r="D673" s="191"/>
      <c r="G673" s="27"/>
      <c r="H673" s="27"/>
    </row>
    <row r="674">
      <c r="B674" s="27"/>
      <c r="C674" s="27"/>
      <c r="D674" s="191"/>
      <c r="G674" s="27"/>
      <c r="H674" s="27"/>
    </row>
    <row r="675">
      <c r="B675" s="27"/>
      <c r="C675" s="27"/>
      <c r="D675" s="191"/>
      <c r="G675" s="27"/>
      <c r="H675" s="27"/>
    </row>
    <row r="676">
      <c r="B676" s="27"/>
      <c r="C676" s="27"/>
      <c r="D676" s="191"/>
      <c r="G676" s="27"/>
      <c r="H676" s="27"/>
    </row>
    <row r="677">
      <c r="B677" s="27"/>
      <c r="C677" s="27"/>
      <c r="D677" s="191"/>
      <c r="G677" s="27"/>
      <c r="H677" s="27"/>
    </row>
    <row r="678">
      <c r="B678" s="27"/>
      <c r="C678" s="27"/>
      <c r="D678" s="191"/>
      <c r="G678" s="27"/>
      <c r="H678" s="27"/>
    </row>
    <row r="679">
      <c r="B679" s="27"/>
      <c r="C679" s="27"/>
      <c r="D679" s="191"/>
      <c r="G679" s="27"/>
      <c r="H679" s="27"/>
    </row>
    <row r="680">
      <c r="B680" s="27"/>
      <c r="C680" s="27"/>
      <c r="D680" s="191"/>
      <c r="G680" s="27"/>
      <c r="H680" s="27"/>
    </row>
    <row r="681">
      <c r="B681" s="27"/>
      <c r="C681" s="27"/>
      <c r="D681" s="191"/>
      <c r="G681" s="27"/>
      <c r="H681" s="27"/>
    </row>
    <row r="682">
      <c r="B682" s="27"/>
      <c r="C682" s="27"/>
      <c r="D682" s="191"/>
      <c r="G682" s="27"/>
      <c r="H682" s="27"/>
    </row>
    <row r="683">
      <c r="B683" s="27"/>
      <c r="C683" s="27"/>
      <c r="D683" s="191"/>
      <c r="G683" s="27"/>
      <c r="H683" s="27"/>
    </row>
    <row r="684">
      <c r="B684" s="27"/>
      <c r="C684" s="27"/>
      <c r="D684" s="191"/>
      <c r="G684" s="27"/>
      <c r="H684" s="27"/>
    </row>
    <row r="685">
      <c r="B685" s="27"/>
      <c r="C685" s="27"/>
      <c r="D685" s="191"/>
      <c r="G685" s="27"/>
      <c r="H685" s="27"/>
    </row>
    <row r="686">
      <c r="B686" s="27"/>
      <c r="C686" s="27"/>
      <c r="D686" s="191"/>
      <c r="G686" s="27"/>
      <c r="H686" s="27"/>
    </row>
    <row r="687">
      <c r="B687" s="27"/>
      <c r="C687" s="27"/>
      <c r="D687" s="191"/>
      <c r="G687" s="27"/>
      <c r="H687" s="27"/>
    </row>
    <row r="688">
      <c r="B688" s="27"/>
      <c r="C688" s="27"/>
      <c r="D688" s="191"/>
      <c r="G688" s="27"/>
      <c r="H688" s="27"/>
    </row>
    <row r="689">
      <c r="B689" s="27"/>
      <c r="C689" s="27"/>
      <c r="D689" s="191"/>
      <c r="G689" s="27"/>
      <c r="H689" s="27"/>
    </row>
    <row r="690">
      <c r="B690" s="27"/>
      <c r="C690" s="27"/>
      <c r="D690" s="191"/>
      <c r="G690" s="27"/>
      <c r="H690" s="27"/>
    </row>
    <row r="691">
      <c r="B691" s="27"/>
      <c r="C691" s="27"/>
      <c r="D691" s="191"/>
      <c r="G691" s="27"/>
      <c r="H691" s="27"/>
    </row>
    <row r="692">
      <c r="B692" s="27"/>
      <c r="C692" s="27"/>
      <c r="D692" s="191"/>
      <c r="G692" s="27"/>
      <c r="H692" s="27"/>
    </row>
    <row r="693">
      <c r="B693" s="27"/>
      <c r="C693" s="27"/>
      <c r="D693" s="191"/>
      <c r="G693" s="27"/>
      <c r="H693" s="27"/>
    </row>
    <row r="694">
      <c r="B694" s="27"/>
      <c r="C694" s="27"/>
      <c r="D694" s="191"/>
      <c r="G694" s="27"/>
      <c r="H694" s="27"/>
    </row>
    <row r="695">
      <c r="B695" s="27"/>
      <c r="C695" s="27"/>
      <c r="D695" s="191"/>
      <c r="G695" s="27"/>
      <c r="H695" s="27"/>
    </row>
    <row r="696">
      <c r="B696" s="27"/>
      <c r="C696" s="27"/>
      <c r="D696" s="191"/>
      <c r="G696" s="27"/>
      <c r="H696" s="27"/>
    </row>
    <row r="697">
      <c r="B697" s="27"/>
      <c r="C697" s="27"/>
      <c r="D697" s="191"/>
      <c r="G697" s="27"/>
      <c r="H697" s="27"/>
    </row>
    <row r="698">
      <c r="B698" s="27"/>
      <c r="C698" s="27"/>
      <c r="D698" s="191"/>
      <c r="G698" s="27"/>
      <c r="H698" s="27"/>
    </row>
    <row r="699">
      <c r="B699" s="27"/>
      <c r="C699" s="27"/>
      <c r="D699" s="191"/>
      <c r="G699" s="27"/>
      <c r="H699" s="27"/>
    </row>
    <row r="700">
      <c r="B700" s="27"/>
      <c r="C700" s="27"/>
      <c r="D700" s="191"/>
      <c r="G700" s="27"/>
      <c r="H700" s="27"/>
    </row>
    <row r="701">
      <c r="B701" s="27"/>
      <c r="C701" s="27"/>
      <c r="D701" s="191"/>
      <c r="G701" s="27"/>
      <c r="H701" s="27"/>
    </row>
    <row r="702">
      <c r="B702" s="27"/>
      <c r="C702" s="27"/>
      <c r="D702" s="191"/>
      <c r="G702" s="27"/>
      <c r="H702" s="27"/>
    </row>
    <row r="703">
      <c r="B703" s="27"/>
      <c r="C703" s="27"/>
      <c r="D703" s="191"/>
      <c r="G703" s="27"/>
      <c r="H703" s="27"/>
    </row>
    <row r="704">
      <c r="B704" s="27"/>
      <c r="C704" s="27"/>
      <c r="D704" s="191"/>
      <c r="G704" s="27"/>
      <c r="H704" s="27"/>
    </row>
    <row r="705">
      <c r="B705" s="27"/>
      <c r="C705" s="27"/>
      <c r="D705" s="191"/>
      <c r="G705" s="27"/>
      <c r="H705" s="27"/>
    </row>
    <row r="706">
      <c r="B706" s="27"/>
      <c r="C706" s="27"/>
      <c r="D706" s="191"/>
      <c r="G706" s="27"/>
      <c r="H706" s="27"/>
    </row>
    <row r="707">
      <c r="B707" s="27"/>
      <c r="C707" s="27"/>
      <c r="D707" s="191"/>
      <c r="G707" s="27"/>
      <c r="H707" s="27"/>
    </row>
    <row r="708">
      <c r="B708" s="27"/>
      <c r="C708" s="27"/>
      <c r="D708" s="191"/>
      <c r="G708" s="27"/>
      <c r="H708" s="27"/>
    </row>
    <row r="709">
      <c r="B709" s="27"/>
      <c r="C709" s="27"/>
      <c r="D709" s="191"/>
      <c r="G709" s="27"/>
      <c r="H709" s="27"/>
    </row>
    <row r="710">
      <c r="B710" s="27"/>
      <c r="C710" s="27"/>
      <c r="D710" s="191"/>
      <c r="G710" s="27"/>
      <c r="H710" s="27"/>
    </row>
    <row r="711">
      <c r="B711" s="27"/>
      <c r="C711" s="27"/>
      <c r="D711" s="191"/>
      <c r="G711" s="27"/>
      <c r="H711" s="27"/>
    </row>
    <row r="712">
      <c r="B712" s="27"/>
      <c r="C712" s="27"/>
      <c r="D712" s="191"/>
      <c r="G712" s="27"/>
      <c r="H712" s="27"/>
    </row>
    <row r="713">
      <c r="B713" s="27"/>
      <c r="C713" s="27"/>
      <c r="D713" s="191"/>
      <c r="G713" s="27"/>
      <c r="H713" s="27"/>
    </row>
    <row r="714">
      <c r="B714" s="27"/>
      <c r="C714" s="27"/>
      <c r="D714" s="191"/>
      <c r="G714" s="27"/>
      <c r="H714" s="27"/>
    </row>
    <row r="715">
      <c r="B715" s="27"/>
      <c r="C715" s="27"/>
      <c r="D715" s="191"/>
      <c r="G715" s="27"/>
      <c r="H715" s="27"/>
    </row>
    <row r="716">
      <c r="B716" s="27"/>
      <c r="C716" s="27"/>
      <c r="D716" s="191"/>
      <c r="G716" s="27"/>
      <c r="H716" s="27"/>
    </row>
    <row r="717">
      <c r="B717" s="27"/>
      <c r="C717" s="27"/>
      <c r="D717" s="191"/>
      <c r="G717" s="27"/>
      <c r="H717" s="27"/>
    </row>
    <row r="718">
      <c r="B718" s="27"/>
      <c r="C718" s="27"/>
      <c r="D718" s="191"/>
      <c r="G718" s="27"/>
      <c r="H718" s="27"/>
    </row>
    <row r="719">
      <c r="B719" s="27"/>
      <c r="C719" s="27"/>
      <c r="D719" s="191"/>
      <c r="G719" s="27"/>
      <c r="H719" s="27"/>
    </row>
    <row r="720">
      <c r="B720" s="27"/>
      <c r="C720" s="27"/>
      <c r="D720" s="191"/>
      <c r="G720" s="27"/>
      <c r="H720" s="27"/>
    </row>
    <row r="721">
      <c r="B721" s="27"/>
      <c r="C721" s="27"/>
      <c r="D721" s="191"/>
      <c r="G721" s="27"/>
      <c r="H721" s="27"/>
    </row>
    <row r="722">
      <c r="B722" s="27"/>
      <c r="C722" s="27"/>
      <c r="D722" s="191"/>
      <c r="G722" s="27"/>
      <c r="H722" s="27"/>
    </row>
    <row r="723">
      <c r="B723" s="27"/>
      <c r="C723" s="27"/>
      <c r="D723" s="191"/>
      <c r="G723" s="27"/>
      <c r="H723" s="27"/>
    </row>
    <row r="724">
      <c r="B724" s="27"/>
      <c r="C724" s="27"/>
      <c r="D724" s="191"/>
      <c r="G724" s="27"/>
      <c r="H724" s="27"/>
    </row>
    <row r="725">
      <c r="B725" s="27"/>
      <c r="C725" s="27"/>
      <c r="D725" s="191"/>
      <c r="G725" s="27"/>
      <c r="H725" s="27"/>
    </row>
    <row r="726">
      <c r="B726" s="27"/>
      <c r="C726" s="27"/>
      <c r="D726" s="191"/>
      <c r="G726" s="27"/>
      <c r="H726" s="27"/>
    </row>
    <row r="727">
      <c r="B727" s="27"/>
      <c r="C727" s="27"/>
      <c r="D727" s="191"/>
      <c r="G727" s="27"/>
      <c r="H727" s="27"/>
    </row>
    <row r="728">
      <c r="B728" s="27"/>
      <c r="C728" s="27"/>
      <c r="D728" s="191"/>
      <c r="G728" s="27"/>
      <c r="H728" s="27"/>
    </row>
    <row r="729">
      <c r="B729" s="27"/>
      <c r="C729" s="27"/>
      <c r="D729" s="191"/>
      <c r="G729" s="27"/>
      <c r="H729" s="27"/>
    </row>
    <row r="730">
      <c r="B730" s="27"/>
      <c r="C730" s="27"/>
      <c r="D730" s="191"/>
      <c r="G730" s="27"/>
      <c r="H730" s="27"/>
    </row>
    <row r="731">
      <c r="B731" s="27"/>
      <c r="C731" s="27"/>
      <c r="D731" s="191"/>
      <c r="G731" s="27"/>
      <c r="H731" s="27"/>
    </row>
    <row r="732">
      <c r="B732" s="27"/>
      <c r="C732" s="27"/>
      <c r="D732" s="191"/>
      <c r="G732" s="27"/>
      <c r="H732" s="27"/>
    </row>
    <row r="733">
      <c r="B733" s="27"/>
      <c r="C733" s="27"/>
      <c r="D733" s="191"/>
      <c r="G733" s="27"/>
      <c r="H733" s="27"/>
    </row>
    <row r="734">
      <c r="B734" s="27"/>
      <c r="C734" s="27"/>
      <c r="D734" s="191"/>
      <c r="G734" s="27"/>
      <c r="H734" s="27"/>
    </row>
    <row r="735">
      <c r="B735" s="27"/>
      <c r="C735" s="27"/>
      <c r="D735" s="191"/>
      <c r="G735" s="27"/>
      <c r="H735" s="27"/>
    </row>
    <row r="736">
      <c r="B736" s="27"/>
      <c r="C736" s="27"/>
      <c r="D736" s="191"/>
      <c r="G736" s="27"/>
      <c r="H736" s="27"/>
    </row>
    <row r="737">
      <c r="B737" s="27"/>
      <c r="C737" s="27"/>
      <c r="D737" s="191"/>
      <c r="G737" s="27"/>
      <c r="H737" s="27"/>
    </row>
    <row r="738">
      <c r="B738" s="27"/>
      <c r="C738" s="27"/>
      <c r="D738" s="191"/>
      <c r="G738" s="27"/>
      <c r="H738" s="27"/>
    </row>
    <row r="739">
      <c r="B739" s="27"/>
      <c r="C739" s="27"/>
      <c r="D739" s="191"/>
      <c r="G739" s="27"/>
      <c r="H739" s="27"/>
    </row>
    <row r="740">
      <c r="B740" s="27"/>
      <c r="C740" s="27"/>
      <c r="D740" s="191"/>
      <c r="G740" s="27"/>
      <c r="H740" s="27"/>
    </row>
    <row r="741">
      <c r="B741" s="27"/>
      <c r="C741" s="27"/>
      <c r="D741" s="191"/>
      <c r="G741" s="27"/>
      <c r="H741" s="27"/>
    </row>
    <row r="742">
      <c r="B742" s="27"/>
      <c r="C742" s="27"/>
      <c r="D742" s="191"/>
      <c r="G742" s="27"/>
      <c r="H742" s="27"/>
    </row>
    <row r="743">
      <c r="B743" s="27"/>
      <c r="C743" s="27"/>
      <c r="D743" s="191"/>
      <c r="G743" s="27"/>
      <c r="H743" s="27"/>
    </row>
    <row r="744">
      <c r="B744" s="27"/>
      <c r="C744" s="27"/>
      <c r="D744" s="191"/>
      <c r="G744" s="27"/>
      <c r="H744" s="27"/>
    </row>
    <row r="745">
      <c r="B745" s="27"/>
      <c r="C745" s="27"/>
      <c r="D745" s="191"/>
      <c r="G745" s="27"/>
      <c r="H745" s="27"/>
    </row>
    <row r="746">
      <c r="B746" s="27"/>
      <c r="C746" s="27"/>
      <c r="D746" s="191"/>
      <c r="G746" s="27"/>
      <c r="H746" s="27"/>
    </row>
    <row r="747">
      <c r="B747" s="27"/>
      <c r="C747" s="27"/>
      <c r="D747" s="191"/>
      <c r="G747" s="27"/>
      <c r="H747" s="27"/>
    </row>
    <row r="748">
      <c r="B748" s="27"/>
      <c r="C748" s="27"/>
      <c r="D748" s="191"/>
      <c r="G748" s="27"/>
      <c r="H748" s="27"/>
    </row>
    <row r="749">
      <c r="B749" s="27"/>
      <c r="C749" s="27"/>
      <c r="D749" s="191"/>
      <c r="G749" s="27"/>
      <c r="H749" s="27"/>
    </row>
    <row r="750">
      <c r="B750" s="27"/>
      <c r="C750" s="27"/>
      <c r="D750" s="191"/>
      <c r="G750" s="27"/>
      <c r="H750" s="27"/>
    </row>
    <row r="751">
      <c r="B751" s="27"/>
      <c r="C751" s="27"/>
      <c r="D751" s="191"/>
      <c r="G751" s="27"/>
      <c r="H751" s="27"/>
    </row>
    <row r="752">
      <c r="B752" s="27"/>
      <c r="C752" s="27"/>
      <c r="D752" s="191"/>
      <c r="G752" s="27"/>
      <c r="H752" s="27"/>
    </row>
    <row r="753">
      <c r="B753" s="27"/>
      <c r="C753" s="27"/>
      <c r="D753" s="191"/>
      <c r="G753" s="27"/>
      <c r="H753" s="27"/>
    </row>
    <row r="754">
      <c r="B754" s="27"/>
      <c r="C754" s="27"/>
      <c r="D754" s="191"/>
      <c r="G754" s="27"/>
      <c r="H754" s="27"/>
    </row>
    <row r="755">
      <c r="B755" s="27"/>
      <c r="C755" s="27"/>
      <c r="D755" s="191"/>
      <c r="G755" s="27"/>
      <c r="H755" s="27"/>
    </row>
    <row r="756">
      <c r="B756" s="27"/>
      <c r="C756" s="27"/>
      <c r="D756" s="191"/>
      <c r="G756" s="27"/>
      <c r="H756" s="27"/>
    </row>
    <row r="757">
      <c r="B757" s="27"/>
      <c r="C757" s="27"/>
      <c r="D757" s="191"/>
      <c r="G757" s="27"/>
      <c r="H757" s="27"/>
    </row>
    <row r="758">
      <c r="B758" s="27"/>
      <c r="C758" s="27"/>
      <c r="D758" s="191"/>
      <c r="G758" s="27"/>
      <c r="H758" s="27"/>
    </row>
    <row r="759">
      <c r="B759" s="27"/>
      <c r="C759" s="27"/>
      <c r="D759" s="191"/>
      <c r="G759" s="27"/>
      <c r="H759" s="27"/>
    </row>
    <row r="760">
      <c r="B760" s="27"/>
      <c r="C760" s="27"/>
      <c r="D760" s="191"/>
      <c r="G760" s="27"/>
      <c r="H760" s="27"/>
    </row>
    <row r="761">
      <c r="B761" s="27"/>
      <c r="C761" s="27"/>
      <c r="D761" s="191"/>
      <c r="G761" s="27"/>
      <c r="H761" s="27"/>
    </row>
    <row r="762">
      <c r="B762" s="27"/>
      <c r="C762" s="27"/>
      <c r="D762" s="191"/>
      <c r="G762" s="27"/>
      <c r="H762" s="27"/>
    </row>
    <row r="763">
      <c r="B763" s="27"/>
      <c r="C763" s="27"/>
      <c r="D763" s="191"/>
      <c r="G763" s="27"/>
      <c r="H763" s="27"/>
    </row>
    <row r="764">
      <c r="B764" s="27"/>
      <c r="C764" s="27"/>
      <c r="D764" s="191"/>
      <c r="G764" s="27"/>
      <c r="H764" s="27"/>
    </row>
    <row r="765">
      <c r="B765" s="27"/>
      <c r="C765" s="27"/>
      <c r="D765" s="191"/>
      <c r="G765" s="27"/>
      <c r="H765" s="27"/>
    </row>
    <row r="766">
      <c r="B766" s="27"/>
      <c r="C766" s="27"/>
      <c r="D766" s="191"/>
      <c r="G766" s="27"/>
      <c r="H766" s="27"/>
    </row>
    <row r="767">
      <c r="B767" s="27"/>
      <c r="C767" s="27"/>
      <c r="D767" s="191"/>
      <c r="G767" s="27"/>
      <c r="H767" s="27"/>
    </row>
    <row r="768">
      <c r="B768" s="27"/>
      <c r="C768" s="27"/>
      <c r="D768" s="191"/>
      <c r="G768" s="27"/>
      <c r="H768" s="27"/>
    </row>
    <row r="769">
      <c r="B769" s="27"/>
      <c r="C769" s="27"/>
      <c r="D769" s="191"/>
      <c r="G769" s="27"/>
      <c r="H769" s="27"/>
    </row>
    <row r="770">
      <c r="B770" s="27"/>
      <c r="C770" s="27"/>
      <c r="D770" s="191"/>
      <c r="G770" s="27"/>
      <c r="H770" s="27"/>
    </row>
    <row r="771">
      <c r="B771" s="27"/>
      <c r="C771" s="27"/>
      <c r="D771" s="191"/>
      <c r="G771" s="27"/>
      <c r="H771" s="27"/>
    </row>
    <row r="772">
      <c r="B772" s="27"/>
      <c r="C772" s="27"/>
      <c r="D772" s="191"/>
      <c r="G772" s="27"/>
      <c r="H772" s="27"/>
    </row>
    <row r="773">
      <c r="B773" s="27"/>
      <c r="C773" s="27"/>
      <c r="D773" s="191"/>
      <c r="G773" s="27"/>
      <c r="H773" s="27"/>
    </row>
    <row r="774">
      <c r="B774" s="27"/>
      <c r="C774" s="27"/>
      <c r="D774" s="191"/>
      <c r="G774" s="27"/>
      <c r="H774" s="27"/>
    </row>
    <row r="775">
      <c r="B775" s="27"/>
      <c r="C775" s="27"/>
      <c r="D775" s="191"/>
      <c r="G775" s="27"/>
      <c r="H775" s="27"/>
    </row>
    <row r="776">
      <c r="B776" s="27"/>
      <c r="C776" s="27"/>
      <c r="D776" s="191"/>
      <c r="G776" s="27"/>
      <c r="H776" s="27"/>
    </row>
    <row r="777">
      <c r="B777" s="27"/>
      <c r="C777" s="27"/>
      <c r="D777" s="191"/>
      <c r="G777" s="27"/>
      <c r="H777" s="27"/>
    </row>
    <row r="778">
      <c r="B778" s="27"/>
      <c r="C778" s="27"/>
      <c r="D778" s="191"/>
      <c r="G778" s="27"/>
      <c r="H778" s="27"/>
    </row>
    <row r="779">
      <c r="B779" s="27"/>
      <c r="C779" s="27"/>
      <c r="D779" s="191"/>
      <c r="G779" s="27"/>
      <c r="H779" s="27"/>
    </row>
    <row r="780">
      <c r="B780" s="27"/>
      <c r="C780" s="27"/>
      <c r="D780" s="191"/>
      <c r="G780" s="27"/>
      <c r="H780" s="27"/>
    </row>
    <row r="781">
      <c r="B781" s="27"/>
      <c r="C781" s="27"/>
      <c r="D781" s="191"/>
      <c r="G781" s="27"/>
      <c r="H781" s="27"/>
    </row>
    <row r="782">
      <c r="B782" s="27"/>
      <c r="C782" s="27"/>
      <c r="D782" s="191"/>
      <c r="G782" s="27"/>
      <c r="H782" s="27"/>
    </row>
    <row r="783">
      <c r="B783" s="27"/>
      <c r="C783" s="27"/>
      <c r="D783" s="191"/>
      <c r="G783" s="27"/>
      <c r="H783" s="27"/>
    </row>
    <row r="784">
      <c r="B784" s="27"/>
      <c r="C784" s="27"/>
      <c r="D784" s="191"/>
      <c r="G784" s="27"/>
      <c r="H784" s="27"/>
    </row>
    <row r="785">
      <c r="B785" s="27"/>
      <c r="C785" s="27"/>
      <c r="D785" s="191"/>
      <c r="G785" s="27"/>
      <c r="H785" s="27"/>
    </row>
    <row r="786">
      <c r="B786" s="27"/>
      <c r="C786" s="27"/>
      <c r="D786" s="191"/>
      <c r="G786" s="27"/>
      <c r="H786" s="27"/>
    </row>
    <row r="787">
      <c r="B787" s="27"/>
      <c r="C787" s="27"/>
      <c r="D787" s="191"/>
      <c r="G787" s="27"/>
      <c r="H787" s="27"/>
    </row>
    <row r="788">
      <c r="B788" s="27"/>
      <c r="C788" s="27"/>
      <c r="D788" s="191"/>
      <c r="G788" s="27"/>
      <c r="H788" s="27"/>
    </row>
    <row r="789">
      <c r="B789" s="27"/>
      <c r="C789" s="27"/>
      <c r="D789" s="191"/>
      <c r="G789" s="27"/>
      <c r="H789" s="27"/>
    </row>
    <row r="790">
      <c r="B790" s="27"/>
      <c r="C790" s="27"/>
      <c r="D790" s="191"/>
      <c r="G790" s="27"/>
      <c r="H790" s="27"/>
    </row>
    <row r="791">
      <c r="B791" s="27"/>
      <c r="C791" s="27"/>
      <c r="D791" s="191"/>
      <c r="G791" s="27"/>
      <c r="H791" s="27"/>
    </row>
    <row r="792">
      <c r="B792" s="27"/>
      <c r="C792" s="27"/>
      <c r="D792" s="191"/>
      <c r="G792" s="27"/>
      <c r="H792" s="27"/>
    </row>
    <row r="793">
      <c r="B793" s="27"/>
      <c r="C793" s="27"/>
      <c r="D793" s="191"/>
      <c r="G793" s="27"/>
      <c r="H793" s="27"/>
    </row>
    <row r="794">
      <c r="B794" s="27"/>
      <c r="C794" s="27"/>
      <c r="D794" s="191"/>
      <c r="G794" s="27"/>
      <c r="H794" s="27"/>
    </row>
    <row r="795">
      <c r="B795" s="27"/>
      <c r="C795" s="27"/>
      <c r="D795" s="191"/>
      <c r="G795" s="27"/>
      <c r="H795" s="27"/>
    </row>
    <row r="796">
      <c r="B796" s="27"/>
      <c r="C796" s="27"/>
      <c r="D796" s="191"/>
      <c r="G796" s="27"/>
      <c r="H796" s="27"/>
    </row>
    <row r="797">
      <c r="B797" s="27"/>
      <c r="C797" s="27"/>
      <c r="D797" s="191"/>
      <c r="G797" s="27"/>
      <c r="H797" s="27"/>
    </row>
    <row r="798">
      <c r="B798" s="27"/>
      <c r="C798" s="27"/>
      <c r="D798" s="191"/>
      <c r="G798" s="27"/>
      <c r="H798" s="27"/>
    </row>
    <row r="799">
      <c r="B799" s="27"/>
      <c r="C799" s="27"/>
      <c r="D799" s="191"/>
      <c r="G799" s="27"/>
      <c r="H799" s="27"/>
    </row>
    <row r="800">
      <c r="B800" s="27"/>
      <c r="C800" s="27"/>
      <c r="D800" s="191"/>
      <c r="G800" s="27"/>
      <c r="H800" s="27"/>
    </row>
    <row r="801">
      <c r="B801" s="27"/>
      <c r="C801" s="27"/>
      <c r="D801" s="191"/>
      <c r="G801" s="27"/>
      <c r="H801" s="27"/>
    </row>
    <row r="802">
      <c r="B802" s="27"/>
      <c r="C802" s="27"/>
      <c r="D802" s="191"/>
      <c r="G802" s="27"/>
      <c r="H802" s="27"/>
    </row>
    <row r="803">
      <c r="B803" s="27"/>
      <c r="C803" s="27"/>
      <c r="D803" s="191"/>
      <c r="G803" s="27"/>
      <c r="H803" s="27"/>
    </row>
    <row r="804">
      <c r="B804" s="27"/>
      <c r="C804" s="27"/>
      <c r="D804" s="191"/>
      <c r="G804" s="27"/>
      <c r="H804" s="27"/>
    </row>
    <row r="805">
      <c r="B805" s="27"/>
      <c r="C805" s="27"/>
      <c r="D805" s="191"/>
      <c r="G805" s="27"/>
      <c r="H805" s="27"/>
    </row>
    <row r="806">
      <c r="B806" s="27"/>
      <c r="C806" s="27"/>
      <c r="D806" s="191"/>
      <c r="G806" s="27"/>
      <c r="H806" s="27"/>
    </row>
    <row r="807">
      <c r="B807" s="27"/>
      <c r="C807" s="27"/>
      <c r="D807" s="191"/>
      <c r="G807" s="27"/>
      <c r="H807" s="27"/>
    </row>
    <row r="808">
      <c r="B808" s="27"/>
      <c r="C808" s="27"/>
      <c r="D808" s="191"/>
      <c r="G808" s="27"/>
      <c r="H808" s="27"/>
    </row>
    <row r="809">
      <c r="B809" s="27"/>
      <c r="C809" s="27"/>
      <c r="D809" s="191"/>
      <c r="G809" s="27"/>
      <c r="H809" s="27"/>
    </row>
    <row r="810">
      <c r="B810" s="27"/>
      <c r="C810" s="27"/>
      <c r="D810" s="191"/>
      <c r="G810" s="27"/>
      <c r="H810" s="27"/>
    </row>
    <row r="811">
      <c r="B811" s="27"/>
      <c r="C811" s="27"/>
      <c r="D811" s="191"/>
      <c r="G811" s="27"/>
      <c r="H811" s="27"/>
    </row>
    <row r="812">
      <c r="B812" s="27"/>
      <c r="C812" s="27"/>
      <c r="D812" s="191"/>
      <c r="G812" s="27"/>
      <c r="H812" s="27"/>
    </row>
    <row r="813">
      <c r="B813" s="27"/>
      <c r="C813" s="27"/>
      <c r="D813" s="191"/>
      <c r="G813" s="27"/>
      <c r="H813" s="27"/>
    </row>
    <row r="814">
      <c r="B814" s="27"/>
      <c r="C814" s="27"/>
      <c r="D814" s="191"/>
      <c r="G814" s="27"/>
      <c r="H814" s="27"/>
    </row>
    <row r="815">
      <c r="B815" s="27"/>
      <c r="C815" s="27"/>
      <c r="D815" s="191"/>
      <c r="G815" s="27"/>
      <c r="H815" s="27"/>
    </row>
    <row r="816">
      <c r="B816" s="27"/>
      <c r="C816" s="27"/>
      <c r="D816" s="191"/>
      <c r="G816" s="27"/>
      <c r="H816" s="27"/>
    </row>
    <row r="817">
      <c r="B817" s="27"/>
      <c r="C817" s="27"/>
      <c r="D817" s="191"/>
      <c r="G817" s="27"/>
      <c r="H817" s="27"/>
    </row>
    <row r="818">
      <c r="B818" s="27"/>
      <c r="C818" s="27"/>
      <c r="D818" s="191"/>
      <c r="G818" s="27"/>
      <c r="H818" s="27"/>
    </row>
    <row r="819">
      <c r="B819" s="27"/>
      <c r="C819" s="27"/>
      <c r="D819" s="191"/>
      <c r="G819" s="27"/>
      <c r="H819" s="27"/>
    </row>
    <row r="820">
      <c r="B820" s="27"/>
      <c r="C820" s="27"/>
      <c r="D820" s="191"/>
      <c r="G820" s="27"/>
      <c r="H820" s="27"/>
    </row>
    <row r="821">
      <c r="B821" s="27"/>
      <c r="C821" s="27"/>
      <c r="D821" s="191"/>
      <c r="G821" s="27"/>
      <c r="H821" s="27"/>
    </row>
    <row r="822">
      <c r="B822" s="27"/>
      <c r="C822" s="27"/>
      <c r="D822" s="191"/>
      <c r="G822" s="27"/>
      <c r="H822" s="27"/>
    </row>
    <row r="823">
      <c r="B823" s="27"/>
      <c r="C823" s="27"/>
      <c r="D823" s="191"/>
      <c r="G823" s="27"/>
      <c r="H823" s="27"/>
    </row>
    <row r="824">
      <c r="B824" s="27"/>
      <c r="C824" s="27"/>
      <c r="D824" s="191"/>
      <c r="G824" s="27"/>
      <c r="H824" s="27"/>
    </row>
    <row r="825">
      <c r="B825" s="27"/>
      <c r="C825" s="27"/>
      <c r="D825" s="191"/>
      <c r="G825" s="27"/>
      <c r="H825" s="27"/>
    </row>
    <row r="826">
      <c r="B826" s="27"/>
      <c r="C826" s="27"/>
      <c r="D826" s="191"/>
      <c r="G826" s="27"/>
      <c r="H826" s="27"/>
    </row>
    <row r="827">
      <c r="B827" s="27"/>
      <c r="C827" s="27"/>
      <c r="D827" s="191"/>
      <c r="G827" s="27"/>
      <c r="H827" s="27"/>
    </row>
    <row r="828">
      <c r="B828" s="27"/>
      <c r="C828" s="27"/>
      <c r="D828" s="191"/>
      <c r="G828" s="27"/>
      <c r="H828" s="27"/>
    </row>
    <row r="829">
      <c r="B829" s="27"/>
      <c r="C829" s="27"/>
      <c r="D829" s="191"/>
      <c r="G829" s="27"/>
      <c r="H829" s="27"/>
    </row>
    <row r="830">
      <c r="B830" s="27"/>
      <c r="C830" s="27"/>
      <c r="D830" s="191"/>
      <c r="G830" s="27"/>
      <c r="H830" s="27"/>
    </row>
    <row r="831">
      <c r="B831" s="27"/>
      <c r="C831" s="27"/>
      <c r="D831" s="191"/>
      <c r="G831" s="27"/>
      <c r="H831" s="27"/>
    </row>
    <row r="832">
      <c r="B832" s="27"/>
      <c r="C832" s="27"/>
      <c r="D832" s="191"/>
      <c r="G832" s="27"/>
      <c r="H832" s="27"/>
    </row>
    <row r="833">
      <c r="B833" s="27"/>
      <c r="C833" s="27"/>
      <c r="D833" s="191"/>
      <c r="G833" s="27"/>
      <c r="H833" s="27"/>
    </row>
    <row r="834">
      <c r="B834" s="27"/>
      <c r="C834" s="27"/>
      <c r="D834" s="191"/>
      <c r="G834" s="27"/>
      <c r="H834" s="27"/>
    </row>
    <row r="835">
      <c r="B835" s="27"/>
      <c r="C835" s="27"/>
      <c r="D835" s="191"/>
      <c r="G835" s="27"/>
      <c r="H835" s="27"/>
    </row>
    <row r="836">
      <c r="B836" s="27"/>
      <c r="C836" s="27"/>
      <c r="D836" s="191"/>
      <c r="G836" s="27"/>
      <c r="H836" s="27"/>
    </row>
    <row r="837">
      <c r="B837" s="27"/>
      <c r="C837" s="27"/>
      <c r="D837" s="191"/>
      <c r="G837" s="27"/>
      <c r="H837" s="27"/>
    </row>
    <row r="838">
      <c r="B838" s="27"/>
      <c r="C838" s="27"/>
      <c r="D838" s="191"/>
      <c r="G838" s="27"/>
      <c r="H838" s="27"/>
    </row>
    <row r="839">
      <c r="B839" s="27"/>
      <c r="C839" s="27"/>
      <c r="D839" s="191"/>
      <c r="G839" s="27"/>
      <c r="H839" s="27"/>
    </row>
    <row r="840">
      <c r="B840" s="27"/>
      <c r="C840" s="27"/>
      <c r="D840" s="191"/>
      <c r="G840" s="27"/>
      <c r="H840" s="27"/>
    </row>
    <row r="841">
      <c r="B841" s="27"/>
      <c r="C841" s="27"/>
      <c r="D841" s="191"/>
      <c r="G841" s="27"/>
      <c r="H841" s="27"/>
    </row>
    <row r="842">
      <c r="B842" s="27"/>
      <c r="C842" s="27"/>
      <c r="D842" s="191"/>
      <c r="G842" s="27"/>
      <c r="H842" s="27"/>
    </row>
    <row r="843">
      <c r="B843" s="27"/>
      <c r="C843" s="27"/>
      <c r="D843" s="191"/>
      <c r="G843" s="27"/>
      <c r="H843" s="27"/>
    </row>
    <row r="844">
      <c r="B844" s="27"/>
      <c r="C844" s="27"/>
      <c r="D844" s="191"/>
      <c r="G844" s="27"/>
      <c r="H844" s="27"/>
    </row>
    <row r="845">
      <c r="B845" s="27"/>
      <c r="C845" s="27"/>
      <c r="D845" s="191"/>
      <c r="G845" s="27"/>
      <c r="H845" s="27"/>
    </row>
    <row r="846">
      <c r="B846" s="27"/>
      <c r="C846" s="27"/>
      <c r="D846" s="191"/>
      <c r="G846" s="27"/>
      <c r="H846" s="27"/>
    </row>
    <row r="847">
      <c r="B847" s="27"/>
      <c r="C847" s="27"/>
      <c r="D847" s="191"/>
      <c r="G847" s="27"/>
      <c r="H847" s="27"/>
    </row>
    <row r="848">
      <c r="B848" s="27"/>
      <c r="C848" s="27"/>
      <c r="D848" s="191"/>
      <c r="G848" s="27"/>
      <c r="H848" s="27"/>
    </row>
    <row r="849">
      <c r="B849" s="27"/>
      <c r="C849" s="27"/>
      <c r="D849" s="191"/>
      <c r="G849" s="27"/>
      <c r="H849" s="27"/>
    </row>
    <row r="850">
      <c r="B850" s="27"/>
      <c r="C850" s="27"/>
      <c r="D850" s="191"/>
      <c r="G850" s="27"/>
      <c r="H850" s="27"/>
    </row>
    <row r="851">
      <c r="B851" s="27"/>
      <c r="C851" s="27"/>
      <c r="D851" s="191"/>
      <c r="G851" s="27"/>
      <c r="H851" s="27"/>
    </row>
    <row r="852">
      <c r="B852" s="27"/>
      <c r="C852" s="27"/>
      <c r="D852" s="191"/>
      <c r="G852" s="27"/>
      <c r="H852" s="27"/>
    </row>
    <row r="853">
      <c r="B853" s="27"/>
      <c r="C853" s="27"/>
      <c r="D853" s="191"/>
      <c r="G853" s="27"/>
      <c r="H853" s="27"/>
    </row>
    <row r="854">
      <c r="B854" s="27"/>
      <c r="C854" s="27"/>
      <c r="D854" s="191"/>
      <c r="G854" s="27"/>
      <c r="H854" s="27"/>
    </row>
    <row r="855">
      <c r="B855" s="27"/>
      <c r="C855" s="27"/>
      <c r="D855" s="191"/>
      <c r="G855" s="27"/>
      <c r="H855" s="27"/>
    </row>
    <row r="856">
      <c r="B856" s="27"/>
      <c r="C856" s="27"/>
      <c r="D856" s="191"/>
      <c r="G856" s="27"/>
      <c r="H856" s="27"/>
    </row>
    <row r="857">
      <c r="B857" s="27"/>
      <c r="C857" s="27"/>
      <c r="D857" s="191"/>
      <c r="G857" s="27"/>
      <c r="H857" s="27"/>
    </row>
    <row r="858">
      <c r="B858" s="27"/>
      <c r="C858" s="27"/>
      <c r="D858" s="191"/>
      <c r="G858" s="27"/>
      <c r="H858" s="27"/>
    </row>
    <row r="859">
      <c r="B859" s="27"/>
      <c r="C859" s="27"/>
      <c r="D859" s="191"/>
      <c r="G859" s="27"/>
      <c r="H859" s="27"/>
    </row>
    <row r="860">
      <c r="B860" s="27"/>
      <c r="C860" s="27"/>
      <c r="D860" s="191"/>
      <c r="G860" s="27"/>
      <c r="H860" s="27"/>
    </row>
    <row r="861">
      <c r="B861" s="27"/>
      <c r="C861" s="27"/>
      <c r="D861" s="191"/>
      <c r="G861" s="27"/>
      <c r="H861" s="27"/>
    </row>
    <row r="862">
      <c r="B862" s="27"/>
      <c r="C862" s="27"/>
      <c r="D862" s="191"/>
      <c r="G862" s="27"/>
      <c r="H862" s="27"/>
    </row>
    <row r="863">
      <c r="B863" s="27"/>
      <c r="C863" s="27"/>
      <c r="D863" s="191"/>
      <c r="G863" s="27"/>
      <c r="H863" s="27"/>
    </row>
    <row r="864">
      <c r="B864" s="27"/>
      <c r="C864" s="27"/>
      <c r="D864" s="191"/>
      <c r="G864" s="27"/>
      <c r="H864" s="27"/>
    </row>
    <row r="865">
      <c r="B865" s="27"/>
      <c r="C865" s="27"/>
      <c r="D865" s="191"/>
      <c r="G865" s="27"/>
      <c r="H865" s="27"/>
    </row>
    <row r="866">
      <c r="B866" s="27"/>
      <c r="C866" s="27"/>
      <c r="D866" s="191"/>
      <c r="G866" s="27"/>
      <c r="H866" s="27"/>
    </row>
    <row r="867">
      <c r="B867" s="27"/>
      <c r="C867" s="27"/>
      <c r="D867" s="191"/>
      <c r="G867" s="27"/>
      <c r="H867" s="27"/>
    </row>
    <row r="868">
      <c r="B868" s="27"/>
      <c r="C868" s="27"/>
      <c r="D868" s="191"/>
      <c r="G868" s="27"/>
      <c r="H868" s="27"/>
    </row>
    <row r="869">
      <c r="B869" s="27"/>
      <c r="C869" s="27"/>
      <c r="D869" s="191"/>
      <c r="G869" s="27"/>
      <c r="H869" s="27"/>
    </row>
    <row r="870">
      <c r="B870" s="27"/>
      <c r="C870" s="27"/>
      <c r="D870" s="191"/>
      <c r="G870" s="27"/>
      <c r="H870" s="27"/>
    </row>
    <row r="871">
      <c r="B871" s="27"/>
      <c r="C871" s="27"/>
      <c r="D871" s="191"/>
      <c r="G871" s="27"/>
      <c r="H871" s="27"/>
    </row>
    <row r="872">
      <c r="B872" s="27"/>
      <c r="C872" s="27"/>
      <c r="D872" s="191"/>
      <c r="G872" s="27"/>
      <c r="H872" s="27"/>
    </row>
    <row r="873">
      <c r="B873" s="27"/>
      <c r="C873" s="27"/>
      <c r="D873" s="191"/>
      <c r="G873" s="27"/>
      <c r="H873" s="27"/>
    </row>
    <row r="874">
      <c r="B874" s="27"/>
      <c r="C874" s="27"/>
      <c r="D874" s="191"/>
      <c r="G874" s="27"/>
      <c r="H874" s="27"/>
    </row>
    <row r="875">
      <c r="B875" s="27"/>
      <c r="C875" s="27"/>
      <c r="D875" s="191"/>
      <c r="G875" s="27"/>
      <c r="H875" s="27"/>
    </row>
    <row r="876">
      <c r="B876" s="27"/>
      <c r="C876" s="27"/>
      <c r="D876" s="191"/>
      <c r="G876" s="27"/>
      <c r="H876" s="27"/>
    </row>
    <row r="877">
      <c r="B877" s="27"/>
      <c r="C877" s="27"/>
      <c r="D877" s="191"/>
      <c r="G877" s="27"/>
      <c r="H877" s="27"/>
    </row>
    <row r="878">
      <c r="B878" s="27"/>
      <c r="C878" s="27"/>
      <c r="D878" s="191"/>
      <c r="G878" s="27"/>
      <c r="H878" s="27"/>
    </row>
    <row r="879">
      <c r="B879" s="27"/>
      <c r="C879" s="27"/>
      <c r="D879" s="191"/>
      <c r="G879" s="27"/>
      <c r="H879" s="27"/>
    </row>
    <row r="880">
      <c r="B880" s="27"/>
      <c r="C880" s="27"/>
      <c r="D880" s="191"/>
      <c r="G880" s="27"/>
      <c r="H880" s="27"/>
    </row>
    <row r="881">
      <c r="B881" s="27"/>
      <c r="C881" s="27"/>
      <c r="D881" s="191"/>
      <c r="G881" s="27"/>
      <c r="H881" s="27"/>
    </row>
    <row r="882">
      <c r="B882" s="27"/>
      <c r="C882" s="27"/>
      <c r="D882" s="191"/>
      <c r="G882" s="27"/>
      <c r="H882" s="27"/>
    </row>
    <row r="883">
      <c r="B883" s="27"/>
      <c r="C883" s="27"/>
      <c r="D883" s="191"/>
      <c r="G883" s="27"/>
      <c r="H883" s="27"/>
    </row>
    <row r="884">
      <c r="B884" s="27"/>
      <c r="C884" s="27"/>
      <c r="D884" s="191"/>
      <c r="G884" s="27"/>
      <c r="H884" s="27"/>
    </row>
    <row r="885">
      <c r="B885" s="27"/>
      <c r="C885" s="27"/>
      <c r="D885" s="191"/>
      <c r="G885" s="27"/>
      <c r="H885" s="27"/>
    </row>
    <row r="886">
      <c r="B886" s="27"/>
      <c r="C886" s="27"/>
      <c r="D886" s="191"/>
      <c r="G886" s="27"/>
      <c r="H886" s="27"/>
    </row>
    <row r="887">
      <c r="B887" s="27"/>
      <c r="C887" s="27"/>
      <c r="D887" s="191"/>
      <c r="G887" s="27"/>
      <c r="H887" s="27"/>
    </row>
    <row r="888">
      <c r="B888" s="27"/>
      <c r="C888" s="27"/>
      <c r="D888" s="191"/>
      <c r="G888" s="27"/>
      <c r="H888" s="27"/>
    </row>
    <row r="889">
      <c r="B889" s="27"/>
      <c r="C889" s="27"/>
      <c r="D889" s="191"/>
      <c r="G889" s="27"/>
      <c r="H889" s="27"/>
    </row>
    <row r="890">
      <c r="B890" s="27"/>
      <c r="C890" s="27"/>
      <c r="D890" s="191"/>
      <c r="G890" s="27"/>
      <c r="H890" s="27"/>
    </row>
    <row r="891">
      <c r="B891" s="27"/>
      <c r="C891" s="27"/>
      <c r="D891" s="191"/>
      <c r="G891" s="27"/>
      <c r="H891" s="27"/>
    </row>
    <row r="892">
      <c r="B892" s="27"/>
      <c r="C892" s="27"/>
      <c r="D892" s="191"/>
      <c r="G892" s="27"/>
      <c r="H892" s="27"/>
    </row>
    <row r="893">
      <c r="B893" s="27"/>
      <c r="C893" s="27"/>
      <c r="D893" s="191"/>
      <c r="G893" s="27"/>
      <c r="H893" s="27"/>
    </row>
    <row r="894">
      <c r="B894" s="27"/>
      <c r="C894" s="27"/>
      <c r="D894" s="191"/>
      <c r="G894" s="27"/>
      <c r="H894" s="27"/>
    </row>
    <row r="895">
      <c r="B895" s="27"/>
      <c r="C895" s="27"/>
      <c r="D895" s="191"/>
      <c r="G895" s="27"/>
      <c r="H895" s="27"/>
    </row>
    <row r="896">
      <c r="B896" s="27"/>
      <c r="C896" s="27"/>
      <c r="D896" s="191"/>
      <c r="G896" s="27"/>
      <c r="H896" s="27"/>
    </row>
    <row r="897">
      <c r="B897" s="27"/>
      <c r="C897" s="27"/>
      <c r="D897" s="191"/>
      <c r="G897" s="27"/>
      <c r="H897" s="27"/>
    </row>
    <row r="898">
      <c r="B898" s="27"/>
      <c r="C898" s="27"/>
      <c r="D898" s="191"/>
      <c r="G898" s="27"/>
      <c r="H898" s="27"/>
    </row>
    <row r="899">
      <c r="B899" s="27"/>
      <c r="C899" s="27"/>
      <c r="D899" s="191"/>
      <c r="G899" s="27"/>
      <c r="H899" s="27"/>
    </row>
    <row r="900">
      <c r="B900" s="27"/>
      <c r="C900" s="27"/>
      <c r="D900" s="191"/>
      <c r="G900" s="27"/>
      <c r="H900" s="27"/>
    </row>
    <row r="901">
      <c r="B901" s="27"/>
      <c r="C901" s="27"/>
      <c r="D901" s="191"/>
      <c r="G901" s="27"/>
      <c r="H901" s="27"/>
    </row>
    <row r="902">
      <c r="B902" s="27"/>
      <c r="C902" s="27"/>
      <c r="D902" s="191"/>
      <c r="G902" s="27"/>
      <c r="H902" s="27"/>
    </row>
    <row r="903">
      <c r="B903" s="27"/>
      <c r="C903" s="27"/>
      <c r="D903" s="191"/>
      <c r="G903" s="27"/>
      <c r="H903" s="27"/>
    </row>
    <row r="904">
      <c r="B904" s="27"/>
      <c r="C904" s="27"/>
      <c r="D904" s="191"/>
      <c r="G904" s="27"/>
      <c r="H904" s="27"/>
    </row>
    <row r="905">
      <c r="B905" s="27"/>
      <c r="C905" s="27"/>
      <c r="D905" s="191"/>
      <c r="G905" s="27"/>
      <c r="H905" s="27"/>
    </row>
    <row r="906">
      <c r="B906" s="27"/>
      <c r="C906" s="27"/>
      <c r="D906" s="191"/>
      <c r="G906" s="27"/>
      <c r="H906" s="27"/>
    </row>
    <row r="907">
      <c r="B907" s="27"/>
      <c r="C907" s="27"/>
      <c r="D907" s="191"/>
      <c r="G907" s="27"/>
      <c r="H907" s="27"/>
    </row>
    <row r="908">
      <c r="B908" s="27"/>
      <c r="C908" s="27"/>
      <c r="D908" s="191"/>
      <c r="G908" s="27"/>
      <c r="H908" s="27"/>
    </row>
    <row r="909">
      <c r="B909" s="27"/>
      <c r="C909" s="27"/>
      <c r="D909" s="191"/>
      <c r="G909" s="27"/>
      <c r="H909" s="27"/>
    </row>
    <row r="910">
      <c r="B910" s="27"/>
      <c r="C910" s="27"/>
      <c r="D910" s="191"/>
      <c r="G910" s="27"/>
      <c r="H910" s="27"/>
    </row>
    <row r="911">
      <c r="B911" s="27"/>
      <c r="C911" s="27"/>
      <c r="D911" s="191"/>
      <c r="G911" s="27"/>
      <c r="H911" s="27"/>
    </row>
    <row r="912">
      <c r="B912" s="27"/>
      <c r="C912" s="27"/>
      <c r="D912" s="191"/>
      <c r="G912" s="27"/>
      <c r="H912" s="27"/>
    </row>
    <row r="913">
      <c r="B913" s="27"/>
      <c r="C913" s="27"/>
      <c r="D913" s="191"/>
      <c r="G913" s="27"/>
      <c r="H913" s="27"/>
    </row>
    <row r="914">
      <c r="B914" s="27"/>
      <c r="C914" s="27"/>
      <c r="D914" s="191"/>
      <c r="G914" s="27"/>
      <c r="H914" s="27"/>
    </row>
    <row r="915">
      <c r="B915" s="27"/>
      <c r="C915" s="27"/>
      <c r="D915" s="191"/>
      <c r="G915" s="27"/>
      <c r="H915" s="27"/>
    </row>
    <row r="916">
      <c r="B916" s="27"/>
      <c r="C916" s="27"/>
      <c r="D916" s="191"/>
      <c r="G916" s="27"/>
      <c r="H916" s="27"/>
    </row>
  </sheetData>
  <dataValidations>
    <dataValidation type="list" allowBlank="1" showErrorMessage="1" sqref="J61:J72">
      <formula1>"PB,AF+PB,PB +POC,DNA"</formula1>
    </dataValidation>
    <dataValidation type="list" allowBlank="1" showErrorMessage="1" sqref="S1:S83">
      <formula1>"Released,Ongoing,pending"</formula1>
    </dataValidation>
  </dataValidations>
  <hyperlinks>
    <hyperlink r:id="rId1" ref="A1"/>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5.88"/>
    <col customWidth="1" min="3" max="3" width="18.75"/>
    <col customWidth="1" min="4" max="4" width="162.25"/>
    <col customWidth="1" min="5" max="5" width="41.0"/>
    <col customWidth="1" min="6" max="6" width="14.25"/>
    <col customWidth="1" min="7" max="7" width="29.13"/>
    <col customWidth="1" min="8" max="8" width="50.63"/>
    <col customWidth="1" min="9" max="9" width="22.63"/>
    <col customWidth="1" min="10" max="10" width="15.25"/>
    <col customWidth="1" min="11" max="11" width="9.0"/>
    <col customWidth="1" min="12" max="12" width="17.0"/>
    <col customWidth="1" min="13" max="13" width="16.13"/>
    <col customWidth="1" min="14" max="14" width="13.38"/>
    <col customWidth="1" min="15" max="15" width="16.63"/>
    <col customWidth="1" min="16" max="16" width="24.75"/>
    <col customWidth="1" min="17" max="17" width="18.63"/>
    <col customWidth="1" min="18" max="18" width="21.38"/>
  </cols>
  <sheetData>
    <row r="1">
      <c r="A1" s="192" t="s">
        <v>1206</v>
      </c>
      <c r="B1" s="193" t="s">
        <v>1</v>
      </c>
      <c r="C1" s="193" t="s">
        <v>2</v>
      </c>
      <c r="D1" s="194" t="s">
        <v>3</v>
      </c>
      <c r="E1" s="193" t="s">
        <v>4</v>
      </c>
      <c r="F1" s="195" t="s">
        <v>336</v>
      </c>
      <c r="G1" s="193" t="s">
        <v>5</v>
      </c>
      <c r="H1" s="196" t="s">
        <v>838</v>
      </c>
      <c r="I1" s="195" t="s">
        <v>34</v>
      </c>
      <c r="J1" s="193" t="s">
        <v>7</v>
      </c>
      <c r="K1" s="193" t="s">
        <v>35</v>
      </c>
      <c r="L1" s="197" t="s">
        <v>9</v>
      </c>
      <c r="M1" s="195" t="s">
        <v>1026</v>
      </c>
      <c r="N1" s="197" t="s">
        <v>246</v>
      </c>
      <c r="O1" s="195" t="s">
        <v>337</v>
      </c>
      <c r="P1" s="198" t="s">
        <v>12</v>
      </c>
      <c r="Q1" s="43" t="s">
        <v>338</v>
      </c>
      <c r="R1" s="42" t="s">
        <v>270</v>
      </c>
      <c r="S1" s="3" t="s">
        <v>15</v>
      </c>
    </row>
    <row r="2">
      <c r="A2" s="184">
        <v>1.0</v>
      </c>
      <c r="B2" s="186" t="s">
        <v>1393</v>
      </c>
      <c r="C2" s="186">
        <v>2.60357286E8</v>
      </c>
      <c r="D2" s="186" t="s">
        <v>1394</v>
      </c>
      <c r="E2" s="186" t="s">
        <v>1395</v>
      </c>
      <c r="F2" s="186"/>
      <c r="G2" s="186" t="s">
        <v>18</v>
      </c>
      <c r="H2" s="199" t="s">
        <v>264</v>
      </c>
      <c r="I2" s="186"/>
      <c r="J2" s="186" t="s">
        <v>359</v>
      </c>
      <c r="K2" s="186"/>
      <c r="L2" s="187">
        <v>46114.0</v>
      </c>
      <c r="M2" s="187">
        <f t="shared" ref="M2:M75" si="1">L2+11</f>
        <v>46125</v>
      </c>
      <c r="N2" s="188">
        <f t="shared" ref="N2:N75" si="2">L2+19</f>
        <v>46133</v>
      </c>
      <c r="O2" s="189">
        <v>46127.0</v>
      </c>
      <c r="S2" s="21" t="s">
        <v>1396</v>
      </c>
    </row>
    <row r="3">
      <c r="A3" s="184">
        <v>2.0</v>
      </c>
      <c r="B3" s="186" t="s">
        <v>1397</v>
      </c>
      <c r="C3" s="186">
        <v>2.60357272E8</v>
      </c>
      <c r="D3" s="186" t="s">
        <v>1394</v>
      </c>
      <c r="E3" s="186" t="s">
        <v>1398</v>
      </c>
      <c r="F3" s="186"/>
      <c r="G3" s="186" t="s">
        <v>18</v>
      </c>
      <c r="H3" s="199" t="s">
        <v>264</v>
      </c>
      <c r="I3" s="186"/>
      <c r="J3" s="186" t="s">
        <v>359</v>
      </c>
      <c r="K3" s="186"/>
      <c r="L3" s="187">
        <v>46114.0</v>
      </c>
      <c r="M3" s="187">
        <f t="shared" si="1"/>
        <v>46125</v>
      </c>
      <c r="N3" s="188">
        <f t="shared" si="2"/>
        <v>46133</v>
      </c>
      <c r="O3" s="189">
        <v>46127.0</v>
      </c>
      <c r="S3" s="21" t="s">
        <v>1396</v>
      </c>
    </row>
    <row r="4">
      <c r="A4" s="184">
        <v>3.0</v>
      </c>
      <c r="B4" s="186" t="s">
        <v>1399</v>
      </c>
      <c r="C4" s="186">
        <v>2.60357311E8</v>
      </c>
      <c r="D4" s="186" t="s">
        <v>1394</v>
      </c>
      <c r="E4" s="186" t="s">
        <v>1400</v>
      </c>
      <c r="F4" s="186"/>
      <c r="G4" s="186" t="s">
        <v>18</v>
      </c>
      <c r="H4" s="199" t="s">
        <v>264</v>
      </c>
      <c r="I4" s="186"/>
      <c r="J4" s="186" t="s">
        <v>359</v>
      </c>
      <c r="K4" s="186"/>
      <c r="L4" s="187">
        <v>46114.0</v>
      </c>
      <c r="M4" s="187">
        <f t="shared" si="1"/>
        <v>46125</v>
      </c>
      <c r="N4" s="188">
        <f t="shared" si="2"/>
        <v>46133</v>
      </c>
      <c r="O4" s="189">
        <v>46127.0</v>
      </c>
      <c r="S4" s="21" t="s">
        <v>1396</v>
      </c>
    </row>
    <row r="5">
      <c r="A5" s="184">
        <v>4.0</v>
      </c>
      <c r="B5" s="186" t="s">
        <v>1401</v>
      </c>
      <c r="C5" s="186">
        <v>2.60357351E8</v>
      </c>
      <c r="D5" s="186" t="s">
        <v>1394</v>
      </c>
      <c r="E5" s="186" t="s">
        <v>1402</v>
      </c>
      <c r="F5" s="186"/>
      <c r="G5" s="186" t="s">
        <v>18</v>
      </c>
      <c r="H5" s="199" t="s">
        <v>264</v>
      </c>
      <c r="I5" s="186"/>
      <c r="J5" s="186" t="s">
        <v>359</v>
      </c>
      <c r="K5" s="186"/>
      <c r="L5" s="187">
        <v>46114.0</v>
      </c>
      <c r="M5" s="187">
        <f t="shared" si="1"/>
        <v>46125</v>
      </c>
      <c r="N5" s="188">
        <f t="shared" si="2"/>
        <v>46133</v>
      </c>
      <c r="O5" s="189">
        <v>46127.0</v>
      </c>
      <c r="S5" s="21" t="s">
        <v>1396</v>
      </c>
    </row>
    <row r="6">
      <c r="A6" s="184">
        <v>5.0</v>
      </c>
      <c r="B6" s="186" t="s">
        <v>1403</v>
      </c>
      <c r="C6" s="186">
        <v>2.60367529E8</v>
      </c>
      <c r="D6" s="186" t="s">
        <v>1404</v>
      </c>
      <c r="E6" s="186" t="s">
        <v>1405</v>
      </c>
      <c r="F6" s="186"/>
      <c r="G6" s="186" t="s">
        <v>18</v>
      </c>
      <c r="H6" s="199" t="s">
        <v>264</v>
      </c>
      <c r="I6" s="186"/>
      <c r="J6" s="186" t="s">
        <v>359</v>
      </c>
      <c r="K6" s="186"/>
      <c r="L6" s="187">
        <v>46115.0</v>
      </c>
      <c r="M6" s="187">
        <f t="shared" si="1"/>
        <v>46126</v>
      </c>
      <c r="N6" s="188">
        <f t="shared" si="2"/>
        <v>46134</v>
      </c>
      <c r="O6" s="189">
        <v>46127.0</v>
      </c>
      <c r="S6" s="21" t="s">
        <v>1396</v>
      </c>
    </row>
    <row r="7">
      <c r="A7" s="184">
        <v>6.0</v>
      </c>
      <c r="B7" s="186" t="s">
        <v>1406</v>
      </c>
      <c r="C7" s="186">
        <v>2.60367072E8</v>
      </c>
      <c r="D7" s="186" t="s">
        <v>1404</v>
      </c>
      <c r="E7" s="186" t="s">
        <v>1407</v>
      </c>
      <c r="F7" s="186"/>
      <c r="G7" s="186" t="s">
        <v>18</v>
      </c>
      <c r="H7" s="199" t="s">
        <v>264</v>
      </c>
      <c r="I7" s="186"/>
      <c r="J7" s="186" t="s">
        <v>359</v>
      </c>
      <c r="K7" s="186"/>
      <c r="L7" s="187">
        <v>46115.0</v>
      </c>
      <c r="M7" s="187">
        <f t="shared" si="1"/>
        <v>46126</v>
      </c>
      <c r="N7" s="188">
        <f t="shared" si="2"/>
        <v>46134</v>
      </c>
      <c r="O7" s="189">
        <v>46127.0</v>
      </c>
      <c r="S7" s="21" t="s">
        <v>1396</v>
      </c>
    </row>
    <row r="8">
      <c r="A8" s="184">
        <v>7.0</v>
      </c>
      <c r="B8" s="186" t="s">
        <v>1408</v>
      </c>
      <c r="C8" s="186">
        <v>2.60367522E8</v>
      </c>
      <c r="D8" s="186" t="s">
        <v>1409</v>
      </c>
      <c r="E8" s="186" t="s">
        <v>1410</v>
      </c>
      <c r="F8" s="186"/>
      <c r="G8" s="186" t="s">
        <v>18</v>
      </c>
      <c r="H8" s="199" t="s">
        <v>264</v>
      </c>
      <c r="I8" s="186"/>
      <c r="J8" s="186" t="s">
        <v>359</v>
      </c>
      <c r="K8" s="186"/>
      <c r="L8" s="187">
        <v>46115.0</v>
      </c>
      <c r="M8" s="187">
        <f t="shared" si="1"/>
        <v>46126</v>
      </c>
      <c r="N8" s="188">
        <f t="shared" si="2"/>
        <v>46134</v>
      </c>
      <c r="O8" s="189">
        <v>46127.0</v>
      </c>
      <c r="S8" s="21" t="s">
        <v>1396</v>
      </c>
    </row>
    <row r="9">
      <c r="A9" s="184">
        <v>8.0</v>
      </c>
      <c r="B9" s="200" t="s">
        <v>1411</v>
      </c>
      <c r="C9" s="200">
        <v>2.60388832E8</v>
      </c>
      <c r="D9" s="201" t="s">
        <v>781</v>
      </c>
      <c r="E9" s="200" t="s">
        <v>1412</v>
      </c>
      <c r="F9" s="202"/>
      <c r="G9" s="200" t="s">
        <v>18</v>
      </c>
      <c r="H9" s="199" t="s">
        <v>264</v>
      </c>
      <c r="I9" s="202"/>
      <c r="J9" s="203" t="s">
        <v>359</v>
      </c>
      <c r="K9" s="202"/>
      <c r="L9" s="204">
        <v>46118.0</v>
      </c>
      <c r="M9" s="187">
        <f t="shared" si="1"/>
        <v>46129</v>
      </c>
      <c r="N9" s="188">
        <f t="shared" si="2"/>
        <v>46137</v>
      </c>
      <c r="O9" s="187">
        <v>46129.0</v>
      </c>
      <c r="S9" s="21" t="s">
        <v>1396</v>
      </c>
    </row>
    <row r="10">
      <c r="A10" s="184">
        <v>9.0</v>
      </c>
      <c r="B10" s="200" t="s">
        <v>1413</v>
      </c>
      <c r="C10" s="200">
        <v>2.60393951E8</v>
      </c>
      <c r="D10" s="201" t="s">
        <v>1414</v>
      </c>
      <c r="E10" s="205" t="s">
        <v>1415</v>
      </c>
      <c r="F10" s="202"/>
      <c r="G10" s="205" t="s">
        <v>18</v>
      </c>
      <c r="H10" s="199" t="s">
        <v>1274</v>
      </c>
      <c r="I10" s="202"/>
      <c r="J10" s="200" t="s">
        <v>30</v>
      </c>
      <c r="K10" s="202"/>
      <c r="L10" s="204">
        <v>46120.0</v>
      </c>
      <c r="M10" s="187">
        <f t="shared" si="1"/>
        <v>46131</v>
      </c>
      <c r="N10" s="188">
        <f t="shared" si="2"/>
        <v>46139</v>
      </c>
      <c r="O10" s="206">
        <v>46133.0</v>
      </c>
      <c r="S10" s="21" t="s">
        <v>1396</v>
      </c>
    </row>
    <row r="11">
      <c r="A11" s="184">
        <v>10.0</v>
      </c>
      <c r="B11" s="200" t="s">
        <v>1416</v>
      </c>
      <c r="C11" s="200">
        <v>2.60393968E8</v>
      </c>
      <c r="D11" s="201" t="s">
        <v>1414</v>
      </c>
      <c r="E11" s="205" t="s">
        <v>1417</v>
      </c>
      <c r="F11" s="202"/>
      <c r="G11" s="205" t="s">
        <v>18</v>
      </c>
      <c r="H11" s="199" t="s">
        <v>1274</v>
      </c>
      <c r="I11" s="202"/>
      <c r="J11" s="200" t="s">
        <v>30</v>
      </c>
      <c r="K11" s="202"/>
      <c r="L11" s="204">
        <v>46120.0</v>
      </c>
      <c r="M11" s="187">
        <f t="shared" si="1"/>
        <v>46131</v>
      </c>
      <c r="N11" s="188">
        <f t="shared" si="2"/>
        <v>46139</v>
      </c>
      <c r="O11" s="206">
        <v>46133.0</v>
      </c>
      <c r="S11" s="21" t="s">
        <v>1396</v>
      </c>
    </row>
    <row r="12">
      <c r="A12" s="184">
        <v>11.0</v>
      </c>
      <c r="B12" s="200" t="s">
        <v>1418</v>
      </c>
      <c r="C12" s="200">
        <v>2.6039396E8</v>
      </c>
      <c r="D12" s="201" t="s">
        <v>1414</v>
      </c>
      <c r="E12" s="205" t="s">
        <v>1419</v>
      </c>
      <c r="F12" s="202"/>
      <c r="G12" s="205" t="s">
        <v>18</v>
      </c>
      <c r="H12" s="199" t="s">
        <v>1274</v>
      </c>
      <c r="I12" s="202"/>
      <c r="J12" s="200" t="s">
        <v>30</v>
      </c>
      <c r="K12" s="202"/>
      <c r="L12" s="204">
        <v>46120.0</v>
      </c>
      <c r="M12" s="187">
        <f t="shared" si="1"/>
        <v>46131</v>
      </c>
      <c r="N12" s="188">
        <f t="shared" si="2"/>
        <v>46139</v>
      </c>
      <c r="O12" s="206">
        <v>46133.0</v>
      </c>
      <c r="S12" s="21" t="s">
        <v>1396</v>
      </c>
    </row>
    <row r="13">
      <c r="A13" s="184">
        <v>12.0</v>
      </c>
      <c r="B13" s="200" t="s">
        <v>1420</v>
      </c>
      <c r="C13" s="200">
        <v>2.6039398E8</v>
      </c>
      <c r="D13" s="201" t="s">
        <v>1414</v>
      </c>
      <c r="E13" s="205" t="s">
        <v>1421</v>
      </c>
      <c r="F13" s="202"/>
      <c r="G13" s="205" t="s">
        <v>18</v>
      </c>
      <c r="H13" s="199" t="s">
        <v>1274</v>
      </c>
      <c r="I13" s="202"/>
      <c r="J13" s="200" t="s">
        <v>30</v>
      </c>
      <c r="K13" s="202"/>
      <c r="L13" s="204">
        <v>46120.0</v>
      </c>
      <c r="M13" s="187">
        <f t="shared" si="1"/>
        <v>46131</v>
      </c>
      <c r="N13" s="188">
        <f t="shared" si="2"/>
        <v>46139</v>
      </c>
      <c r="O13" s="206">
        <v>46133.0</v>
      </c>
      <c r="S13" s="21" t="s">
        <v>1396</v>
      </c>
    </row>
    <row r="14">
      <c r="A14" s="184">
        <v>13.0</v>
      </c>
      <c r="B14" s="200" t="s">
        <v>1422</v>
      </c>
      <c r="C14" s="207">
        <v>2.60391237E8</v>
      </c>
      <c r="D14" s="201" t="s">
        <v>1414</v>
      </c>
      <c r="E14" s="205" t="s">
        <v>1423</v>
      </c>
      <c r="F14" s="202"/>
      <c r="G14" s="205" t="s">
        <v>18</v>
      </c>
      <c r="H14" s="199" t="s">
        <v>40</v>
      </c>
      <c r="I14" s="202"/>
      <c r="J14" s="200" t="s">
        <v>30</v>
      </c>
      <c r="K14" s="202"/>
      <c r="L14" s="204">
        <v>46121.0</v>
      </c>
      <c r="M14" s="187">
        <f t="shared" si="1"/>
        <v>46132</v>
      </c>
      <c r="N14" s="188">
        <f t="shared" si="2"/>
        <v>46140</v>
      </c>
      <c r="O14" s="206">
        <v>46133.0</v>
      </c>
      <c r="S14" s="21" t="s">
        <v>1396</v>
      </c>
    </row>
    <row r="15">
      <c r="A15" s="184">
        <v>14.0</v>
      </c>
      <c r="B15" s="200" t="s">
        <v>1424</v>
      </c>
      <c r="C15" s="200">
        <v>2.60391319E8</v>
      </c>
      <c r="D15" s="201" t="s">
        <v>1414</v>
      </c>
      <c r="E15" s="205" t="s">
        <v>1425</v>
      </c>
      <c r="F15" s="202"/>
      <c r="G15" s="205" t="s">
        <v>18</v>
      </c>
      <c r="H15" s="199" t="s">
        <v>40</v>
      </c>
      <c r="I15" s="202"/>
      <c r="J15" s="200" t="s">
        <v>30</v>
      </c>
      <c r="K15" s="202"/>
      <c r="L15" s="204">
        <v>46121.0</v>
      </c>
      <c r="M15" s="187">
        <f t="shared" si="1"/>
        <v>46132</v>
      </c>
      <c r="N15" s="188">
        <f t="shared" si="2"/>
        <v>46140</v>
      </c>
      <c r="O15" s="206">
        <v>46133.0</v>
      </c>
      <c r="S15" s="21" t="s">
        <v>1396</v>
      </c>
    </row>
    <row r="16">
      <c r="A16" s="184">
        <v>15.0</v>
      </c>
      <c r="B16" s="205" t="s">
        <v>1426</v>
      </c>
      <c r="C16" s="205">
        <v>2.60391344E8</v>
      </c>
      <c r="D16" s="201" t="s">
        <v>1414</v>
      </c>
      <c r="E16" s="205" t="s">
        <v>1427</v>
      </c>
      <c r="F16" s="202"/>
      <c r="G16" s="205" t="s">
        <v>18</v>
      </c>
      <c r="H16" s="199" t="s">
        <v>40</v>
      </c>
      <c r="I16" s="202"/>
      <c r="J16" s="200" t="s">
        <v>30</v>
      </c>
      <c r="K16" s="202"/>
      <c r="L16" s="204">
        <v>46121.0</v>
      </c>
      <c r="M16" s="187">
        <f t="shared" si="1"/>
        <v>46132</v>
      </c>
      <c r="N16" s="188">
        <f t="shared" si="2"/>
        <v>46140</v>
      </c>
      <c r="O16" s="206">
        <v>46133.0</v>
      </c>
      <c r="S16" s="21" t="s">
        <v>1396</v>
      </c>
    </row>
    <row r="17">
      <c r="A17" s="184">
        <v>16.0</v>
      </c>
      <c r="B17" s="205" t="s">
        <v>1428</v>
      </c>
      <c r="C17" s="205">
        <v>2.60391637E8</v>
      </c>
      <c r="D17" s="201" t="s">
        <v>1414</v>
      </c>
      <c r="E17" s="205" t="s">
        <v>1429</v>
      </c>
      <c r="F17" s="202"/>
      <c r="G17" s="205" t="s">
        <v>18</v>
      </c>
      <c r="H17" s="199" t="s">
        <v>40</v>
      </c>
      <c r="I17" s="202"/>
      <c r="J17" s="200" t="s">
        <v>30</v>
      </c>
      <c r="K17" s="202"/>
      <c r="L17" s="204">
        <v>46121.0</v>
      </c>
      <c r="M17" s="187">
        <f t="shared" si="1"/>
        <v>46132</v>
      </c>
      <c r="N17" s="188">
        <f t="shared" si="2"/>
        <v>46140</v>
      </c>
      <c r="O17" s="206">
        <v>46133.0</v>
      </c>
      <c r="S17" s="21" t="s">
        <v>1396</v>
      </c>
    </row>
    <row r="18">
      <c r="A18" s="184">
        <v>17.0</v>
      </c>
      <c r="B18" s="205" t="s">
        <v>1430</v>
      </c>
      <c r="C18" s="205">
        <v>2.60391695E8</v>
      </c>
      <c r="D18" s="201" t="s">
        <v>1414</v>
      </c>
      <c r="E18" s="205" t="s">
        <v>1431</v>
      </c>
      <c r="F18" s="202"/>
      <c r="G18" s="205" t="s">
        <v>18</v>
      </c>
      <c r="H18" s="199" t="s">
        <v>40</v>
      </c>
      <c r="I18" s="202"/>
      <c r="J18" s="200" t="s">
        <v>30</v>
      </c>
      <c r="K18" s="202"/>
      <c r="L18" s="204">
        <v>46121.0</v>
      </c>
      <c r="M18" s="187">
        <f t="shared" si="1"/>
        <v>46132</v>
      </c>
      <c r="N18" s="188">
        <f t="shared" si="2"/>
        <v>46140</v>
      </c>
      <c r="O18" s="206">
        <v>46133.0</v>
      </c>
      <c r="S18" s="21" t="s">
        <v>1396</v>
      </c>
    </row>
    <row r="19">
      <c r="A19" s="184">
        <v>18.0</v>
      </c>
      <c r="B19" s="205" t="s">
        <v>1432</v>
      </c>
      <c r="C19" s="205">
        <v>2.6039174E8</v>
      </c>
      <c r="D19" s="201" t="s">
        <v>1414</v>
      </c>
      <c r="E19" s="205" t="s">
        <v>1433</v>
      </c>
      <c r="F19" s="202"/>
      <c r="G19" s="205" t="s">
        <v>18</v>
      </c>
      <c r="H19" s="199" t="s">
        <v>40</v>
      </c>
      <c r="I19" s="202"/>
      <c r="J19" s="200" t="s">
        <v>30</v>
      </c>
      <c r="K19" s="202"/>
      <c r="L19" s="204">
        <v>46121.0</v>
      </c>
      <c r="M19" s="187">
        <f t="shared" si="1"/>
        <v>46132</v>
      </c>
      <c r="N19" s="188">
        <f t="shared" si="2"/>
        <v>46140</v>
      </c>
      <c r="O19" s="206">
        <v>46133.0</v>
      </c>
      <c r="S19" s="21" t="s">
        <v>1396</v>
      </c>
    </row>
    <row r="20">
      <c r="A20" s="184">
        <v>19.0</v>
      </c>
      <c r="B20" s="205" t="s">
        <v>1434</v>
      </c>
      <c r="C20" s="205">
        <v>2.60391756E8</v>
      </c>
      <c r="D20" s="201" t="s">
        <v>1414</v>
      </c>
      <c r="E20" s="205" t="s">
        <v>1435</v>
      </c>
      <c r="F20" s="202"/>
      <c r="G20" s="205" t="s">
        <v>18</v>
      </c>
      <c r="H20" s="199" t="s">
        <v>40</v>
      </c>
      <c r="I20" s="202"/>
      <c r="J20" s="200" t="s">
        <v>30</v>
      </c>
      <c r="K20" s="202"/>
      <c r="L20" s="204">
        <v>46121.0</v>
      </c>
      <c r="M20" s="187">
        <f t="shared" si="1"/>
        <v>46132</v>
      </c>
      <c r="N20" s="188">
        <f t="shared" si="2"/>
        <v>46140</v>
      </c>
      <c r="O20" s="206">
        <v>46133.0</v>
      </c>
      <c r="S20" s="21" t="s">
        <v>1396</v>
      </c>
    </row>
    <row r="21">
      <c r="A21" s="184">
        <v>20.0</v>
      </c>
      <c r="B21" s="205" t="s">
        <v>1436</v>
      </c>
      <c r="C21" s="205">
        <v>2.60391797E8</v>
      </c>
      <c r="D21" s="201" t="s">
        <v>1414</v>
      </c>
      <c r="E21" s="205" t="s">
        <v>1437</v>
      </c>
      <c r="F21" s="202"/>
      <c r="G21" s="205" t="s">
        <v>18</v>
      </c>
      <c r="H21" s="199" t="s">
        <v>40</v>
      </c>
      <c r="I21" s="202"/>
      <c r="J21" s="200" t="s">
        <v>30</v>
      </c>
      <c r="K21" s="202"/>
      <c r="L21" s="204">
        <v>46121.0</v>
      </c>
      <c r="M21" s="187">
        <f t="shared" si="1"/>
        <v>46132</v>
      </c>
      <c r="N21" s="188">
        <f t="shared" si="2"/>
        <v>46140</v>
      </c>
      <c r="O21" s="206">
        <v>46133.0</v>
      </c>
      <c r="S21" s="21" t="s">
        <v>1396</v>
      </c>
    </row>
    <row r="22">
      <c r="A22" s="184">
        <v>21.0</v>
      </c>
      <c r="B22" s="205" t="s">
        <v>1438</v>
      </c>
      <c r="C22" s="205">
        <v>2.6039183E8</v>
      </c>
      <c r="D22" s="201" t="s">
        <v>1414</v>
      </c>
      <c r="E22" s="205" t="s">
        <v>1439</v>
      </c>
      <c r="F22" s="202"/>
      <c r="G22" s="205" t="s">
        <v>18</v>
      </c>
      <c r="H22" s="199" t="s">
        <v>40</v>
      </c>
      <c r="I22" s="202"/>
      <c r="J22" s="200" t="s">
        <v>30</v>
      </c>
      <c r="K22" s="202"/>
      <c r="L22" s="204">
        <v>46121.0</v>
      </c>
      <c r="M22" s="187">
        <f t="shared" si="1"/>
        <v>46132</v>
      </c>
      <c r="N22" s="188">
        <f t="shared" si="2"/>
        <v>46140</v>
      </c>
      <c r="O22" s="206">
        <v>46133.0</v>
      </c>
      <c r="S22" s="21" t="s">
        <v>1396</v>
      </c>
    </row>
    <row r="23">
      <c r="A23" s="184">
        <v>22.0</v>
      </c>
      <c r="B23" s="200" t="s">
        <v>1440</v>
      </c>
      <c r="C23" s="205">
        <v>2.60399495E8</v>
      </c>
      <c r="D23" s="201" t="s">
        <v>1189</v>
      </c>
      <c r="E23" s="205" t="s">
        <v>1441</v>
      </c>
      <c r="F23" s="202"/>
      <c r="G23" s="205" t="s">
        <v>18</v>
      </c>
      <c r="H23" s="199" t="s">
        <v>264</v>
      </c>
      <c r="I23" s="202"/>
      <c r="J23" s="200" t="s">
        <v>359</v>
      </c>
      <c r="K23" s="202"/>
      <c r="L23" s="204">
        <v>46122.0</v>
      </c>
      <c r="M23" s="187">
        <f t="shared" si="1"/>
        <v>46133</v>
      </c>
      <c r="N23" s="188">
        <f t="shared" si="2"/>
        <v>46141</v>
      </c>
      <c r="O23" s="206">
        <v>46133.0</v>
      </c>
      <c r="S23" s="21" t="s">
        <v>1396</v>
      </c>
    </row>
    <row r="24">
      <c r="A24" s="184">
        <v>23.0</v>
      </c>
      <c r="B24" s="200" t="s">
        <v>1442</v>
      </c>
      <c r="C24" s="200">
        <v>2.60399576E8</v>
      </c>
      <c r="D24" s="201" t="s">
        <v>1189</v>
      </c>
      <c r="E24" s="205" t="s">
        <v>1443</v>
      </c>
      <c r="F24" s="202"/>
      <c r="G24" s="205" t="s">
        <v>18</v>
      </c>
      <c r="H24" s="199" t="s">
        <v>264</v>
      </c>
      <c r="I24" s="202"/>
      <c r="J24" s="200" t="s">
        <v>359</v>
      </c>
      <c r="K24" s="202"/>
      <c r="L24" s="204">
        <v>46122.0</v>
      </c>
      <c r="M24" s="187">
        <f t="shared" si="1"/>
        <v>46133</v>
      </c>
      <c r="N24" s="188">
        <f t="shared" si="2"/>
        <v>46141</v>
      </c>
      <c r="O24" s="206">
        <v>46133.0</v>
      </c>
      <c r="S24" s="21" t="s">
        <v>1396</v>
      </c>
    </row>
    <row r="25">
      <c r="A25" s="184">
        <v>24.0</v>
      </c>
      <c r="B25" s="200" t="s">
        <v>1444</v>
      </c>
      <c r="C25" s="200">
        <v>2.60399661E8</v>
      </c>
      <c r="D25" s="201" t="s">
        <v>1189</v>
      </c>
      <c r="E25" s="205" t="s">
        <v>1445</v>
      </c>
      <c r="F25" s="202"/>
      <c r="G25" s="205" t="s">
        <v>18</v>
      </c>
      <c r="H25" s="199" t="s">
        <v>264</v>
      </c>
      <c r="I25" s="202"/>
      <c r="J25" s="200" t="s">
        <v>359</v>
      </c>
      <c r="K25" s="202"/>
      <c r="L25" s="204">
        <v>46122.0</v>
      </c>
      <c r="M25" s="187">
        <f t="shared" si="1"/>
        <v>46133</v>
      </c>
      <c r="N25" s="188">
        <f t="shared" si="2"/>
        <v>46141</v>
      </c>
      <c r="O25" s="206">
        <v>46133.0</v>
      </c>
      <c r="S25" s="21" t="s">
        <v>1396</v>
      </c>
    </row>
    <row r="26">
      <c r="A26" s="184">
        <v>25.0</v>
      </c>
      <c r="B26" s="205" t="s">
        <v>1446</v>
      </c>
      <c r="C26" s="205">
        <v>2.60399542E8</v>
      </c>
      <c r="D26" s="201" t="s">
        <v>1189</v>
      </c>
      <c r="E26" s="205" t="s">
        <v>1447</v>
      </c>
      <c r="F26" s="202"/>
      <c r="G26" s="205" t="s">
        <v>442</v>
      </c>
      <c r="H26" s="199" t="s">
        <v>264</v>
      </c>
      <c r="I26" s="202"/>
      <c r="J26" s="200" t="s">
        <v>359</v>
      </c>
      <c r="K26" s="202"/>
      <c r="L26" s="204">
        <v>46122.0</v>
      </c>
      <c r="M26" s="187">
        <f t="shared" si="1"/>
        <v>46133</v>
      </c>
      <c r="N26" s="188">
        <f t="shared" si="2"/>
        <v>46141</v>
      </c>
      <c r="O26" s="206">
        <v>46133.0</v>
      </c>
      <c r="S26" s="21" t="s">
        <v>1396</v>
      </c>
    </row>
    <row r="27">
      <c r="A27" s="184">
        <v>26.0</v>
      </c>
      <c r="B27" s="200" t="s">
        <v>1448</v>
      </c>
      <c r="C27" s="205">
        <v>2.60399605E8</v>
      </c>
      <c r="D27" s="201" t="s">
        <v>1449</v>
      </c>
      <c r="E27" s="205" t="s">
        <v>1450</v>
      </c>
      <c r="F27" s="202"/>
      <c r="G27" s="205" t="s">
        <v>442</v>
      </c>
      <c r="H27" s="199" t="s">
        <v>264</v>
      </c>
      <c r="I27" s="202"/>
      <c r="J27" s="200" t="s">
        <v>359</v>
      </c>
      <c r="K27" s="202"/>
      <c r="L27" s="204">
        <v>46122.0</v>
      </c>
      <c r="M27" s="187">
        <f t="shared" si="1"/>
        <v>46133</v>
      </c>
      <c r="N27" s="188">
        <f t="shared" si="2"/>
        <v>46141</v>
      </c>
      <c r="O27" s="206">
        <v>46133.0</v>
      </c>
      <c r="S27" s="21" t="s">
        <v>1396</v>
      </c>
    </row>
    <row r="28">
      <c r="A28" s="184">
        <v>27.0</v>
      </c>
      <c r="B28" s="200" t="s">
        <v>1451</v>
      </c>
      <c r="C28" s="200">
        <v>2.60399673E8</v>
      </c>
      <c r="D28" s="201" t="s">
        <v>1189</v>
      </c>
      <c r="E28" s="205" t="s">
        <v>1452</v>
      </c>
      <c r="F28" s="202"/>
      <c r="G28" s="205" t="s">
        <v>442</v>
      </c>
      <c r="H28" s="199" t="s">
        <v>264</v>
      </c>
      <c r="I28" s="202"/>
      <c r="J28" s="200" t="s">
        <v>359</v>
      </c>
      <c r="K28" s="202"/>
      <c r="L28" s="204">
        <v>46122.0</v>
      </c>
      <c r="M28" s="187">
        <f t="shared" si="1"/>
        <v>46133</v>
      </c>
      <c r="N28" s="188">
        <f t="shared" si="2"/>
        <v>46141</v>
      </c>
      <c r="O28" s="206">
        <v>46133.0</v>
      </c>
      <c r="S28" s="21" t="s">
        <v>1396</v>
      </c>
    </row>
    <row r="29">
      <c r="A29" s="184">
        <v>28.0</v>
      </c>
      <c r="B29" s="200" t="s">
        <v>1453</v>
      </c>
      <c r="C29" s="200">
        <v>2.60408443E8</v>
      </c>
      <c r="D29" s="201" t="s">
        <v>1454</v>
      </c>
      <c r="E29" s="200" t="s">
        <v>1455</v>
      </c>
      <c r="F29" s="202"/>
      <c r="G29" s="200" t="s">
        <v>18</v>
      </c>
      <c r="H29" s="199" t="s">
        <v>745</v>
      </c>
      <c r="I29" s="202"/>
      <c r="J29" s="200" t="s">
        <v>30</v>
      </c>
      <c r="K29" s="202"/>
      <c r="L29" s="204">
        <v>46124.0</v>
      </c>
      <c r="M29" s="187">
        <f t="shared" si="1"/>
        <v>46135</v>
      </c>
      <c r="N29" s="188">
        <f t="shared" si="2"/>
        <v>46143</v>
      </c>
      <c r="O29" s="202"/>
      <c r="S29" s="21" t="s">
        <v>1396</v>
      </c>
    </row>
    <row r="30">
      <c r="A30" s="184">
        <v>29.0</v>
      </c>
      <c r="B30" s="200" t="s">
        <v>1456</v>
      </c>
      <c r="C30" s="200">
        <v>2.60408451E8</v>
      </c>
      <c r="D30" s="201" t="s">
        <v>1457</v>
      </c>
      <c r="E30" s="200" t="s">
        <v>1458</v>
      </c>
      <c r="F30" s="202"/>
      <c r="G30" s="200" t="s">
        <v>18</v>
      </c>
      <c r="H30" s="199" t="s">
        <v>745</v>
      </c>
      <c r="I30" s="202"/>
      <c r="J30" s="200" t="s">
        <v>30</v>
      </c>
      <c r="K30" s="202"/>
      <c r="L30" s="204">
        <v>46124.0</v>
      </c>
      <c r="M30" s="187">
        <f t="shared" si="1"/>
        <v>46135</v>
      </c>
      <c r="N30" s="188">
        <f t="shared" si="2"/>
        <v>46143</v>
      </c>
      <c r="O30" s="202"/>
      <c r="S30" s="21" t="s">
        <v>1396</v>
      </c>
    </row>
    <row r="31">
      <c r="A31" s="184">
        <v>30.0</v>
      </c>
      <c r="B31" s="200" t="s">
        <v>1459</v>
      </c>
      <c r="C31" s="200">
        <v>2.60408466E8</v>
      </c>
      <c r="D31" s="201" t="s">
        <v>1460</v>
      </c>
      <c r="E31" s="200" t="s">
        <v>1461</v>
      </c>
      <c r="F31" s="202"/>
      <c r="G31" s="200" t="s">
        <v>18</v>
      </c>
      <c r="H31" s="199" t="s">
        <v>745</v>
      </c>
      <c r="I31" s="202"/>
      <c r="J31" s="200" t="s">
        <v>30</v>
      </c>
      <c r="K31" s="202"/>
      <c r="L31" s="204">
        <v>46124.0</v>
      </c>
      <c r="M31" s="187">
        <f t="shared" si="1"/>
        <v>46135</v>
      </c>
      <c r="N31" s="188">
        <f t="shared" si="2"/>
        <v>46143</v>
      </c>
      <c r="O31" s="202"/>
      <c r="S31" s="21" t="s">
        <v>1396</v>
      </c>
    </row>
    <row r="32">
      <c r="A32" s="184">
        <v>31.0</v>
      </c>
      <c r="B32" s="200" t="s">
        <v>1462</v>
      </c>
      <c r="C32" s="200">
        <v>2.6040851E8</v>
      </c>
      <c r="D32" s="201" t="s">
        <v>1463</v>
      </c>
      <c r="E32" s="200" t="s">
        <v>1464</v>
      </c>
      <c r="F32" s="202"/>
      <c r="G32" s="200" t="s">
        <v>18</v>
      </c>
      <c r="H32" s="199" t="s">
        <v>745</v>
      </c>
      <c r="I32" s="202"/>
      <c r="J32" s="200" t="s">
        <v>30</v>
      </c>
      <c r="K32" s="202"/>
      <c r="L32" s="204">
        <v>46124.0</v>
      </c>
      <c r="M32" s="187">
        <f t="shared" si="1"/>
        <v>46135</v>
      </c>
      <c r="N32" s="188">
        <f t="shared" si="2"/>
        <v>46143</v>
      </c>
      <c r="O32" s="202"/>
      <c r="S32" s="21" t="s">
        <v>1396</v>
      </c>
    </row>
    <row r="33">
      <c r="A33" s="184">
        <v>32.0</v>
      </c>
      <c r="B33" s="200" t="s">
        <v>1465</v>
      </c>
      <c r="C33" s="200">
        <v>2.60408522E8</v>
      </c>
      <c r="D33" s="201" t="s">
        <v>1466</v>
      </c>
      <c r="E33" s="200" t="s">
        <v>1467</v>
      </c>
      <c r="F33" s="202"/>
      <c r="G33" s="200" t="s">
        <v>18</v>
      </c>
      <c r="H33" s="199" t="s">
        <v>745</v>
      </c>
      <c r="I33" s="202"/>
      <c r="J33" s="200" t="s">
        <v>30</v>
      </c>
      <c r="K33" s="202"/>
      <c r="L33" s="204">
        <v>46124.0</v>
      </c>
      <c r="M33" s="187">
        <f t="shared" si="1"/>
        <v>46135</v>
      </c>
      <c r="N33" s="188">
        <f t="shared" si="2"/>
        <v>46143</v>
      </c>
      <c r="O33" s="202"/>
      <c r="S33" s="21" t="s">
        <v>1396</v>
      </c>
    </row>
    <row r="34">
      <c r="A34" s="184">
        <v>33.0</v>
      </c>
      <c r="B34" s="200" t="s">
        <v>1468</v>
      </c>
      <c r="C34" s="200">
        <v>2.60408535E8</v>
      </c>
      <c r="D34" s="201" t="s">
        <v>1469</v>
      </c>
      <c r="E34" s="200" t="s">
        <v>1470</v>
      </c>
      <c r="F34" s="202"/>
      <c r="G34" s="200" t="s">
        <v>18</v>
      </c>
      <c r="H34" s="199" t="s">
        <v>745</v>
      </c>
      <c r="I34" s="202"/>
      <c r="J34" s="200" t="s">
        <v>30</v>
      </c>
      <c r="K34" s="202"/>
      <c r="L34" s="204">
        <v>46124.0</v>
      </c>
      <c r="M34" s="187">
        <f t="shared" si="1"/>
        <v>46135</v>
      </c>
      <c r="N34" s="188">
        <f t="shared" si="2"/>
        <v>46143</v>
      </c>
      <c r="O34" s="202"/>
      <c r="S34" s="21" t="s">
        <v>1396</v>
      </c>
    </row>
    <row r="35">
      <c r="A35" s="184">
        <v>34.0</v>
      </c>
      <c r="B35" s="200" t="s">
        <v>1471</v>
      </c>
      <c r="C35" s="200">
        <v>2.60408581E8</v>
      </c>
      <c r="D35" s="201" t="s">
        <v>1472</v>
      </c>
      <c r="E35" s="200" t="s">
        <v>1473</v>
      </c>
      <c r="F35" s="202"/>
      <c r="G35" s="200" t="s">
        <v>18</v>
      </c>
      <c r="H35" s="199" t="s">
        <v>745</v>
      </c>
      <c r="I35" s="202"/>
      <c r="J35" s="200" t="s">
        <v>30</v>
      </c>
      <c r="K35" s="202"/>
      <c r="L35" s="204">
        <v>46124.0</v>
      </c>
      <c r="M35" s="187">
        <f t="shared" si="1"/>
        <v>46135</v>
      </c>
      <c r="N35" s="188">
        <f t="shared" si="2"/>
        <v>46143</v>
      </c>
      <c r="O35" s="202"/>
      <c r="S35" s="21" t="s">
        <v>1396</v>
      </c>
    </row>
    <row r="36">
      <c r="A36" s="184">
        <v>35.0</v>
      </c>
      <c r="B36" s="200" t="s">
        <v>1474</v>
      </c>
      <c r="C36" s="200">
        <v>2.60408608E8</v>
      </c>
      <c r="D36" s="201" t="s">
        <v>1475</v>
      </c>
      <c r="E36" s="200" t="s">
        <v>1476</v>
      </c>
      <c r="F36" s="202"/>
      <c r="G36" s="200" t="s">
        <v>18</v>
      </c>
      <c r="H36" s="199" t="s">
        <v>745</v>
      </c>
      <c r="I36" s="202"/>
      <c r="J36" s="200" t="s">
        <v>30</v>
      </c>
      <c r="K36" s="202"/>
      <c r="L36" s="204">
        <v>46124.0</v>
      </c>
      <c r="M36" s="187">
        <f t="shared" si="1"/>
        <v>46135</v>
      </c>
      <c r="N36" s="188">
        <f t="shared" si="2"/>
        <v>46143</v>
      </c>
      <c r="O36" s="202"/>
      <c r="S36" s="21" t="s">
        <v>1396</v>
      </c>
    </row>
    <row r="37">
      <c r="A37" s="184">
        <v>36.0</v>
      </c>
      <c r="B37" s="200" t="s">
        <v>1477</v>
      </c>
      <c r="C37" s="200">
        <v>2.60408615E8</v>
      </c>
      <c r="D37" s="201" t="s">
        <v>1478</v>
      </c>
      <c r="E37" s="200" t="s">
        <v>1479</v>
      </c>
      <c r="F37" s="202"/>
      <c r="G37" s="200" t="s">
        <v>18</v>
      </c>
      <c r="H37" s="199" t="s">
        <v>745</v>
      </c>
      <c r="I37" s="202"/>
      <c r="J37" s="200" t="s">
        <v>30</v>
      </c>
      <c r="K37" s="202"/>
      <c r="L37" s="204">
        <v>46124.0</v>
      </c>
      <c r="M37" s="187">
        <f t="shared" si="1"/>
        <v>46135</v>
      </c>
      <c r="N37" s="188">
        <f t="shared" si="2"/>
        <v>46143</v>
      </c>
      <c r="O37" s="202"/>
      <c r="S37" s="21" t="s">
        <v>1396</v>
      </c>
    </row>
    <row r="38">
      <c r="A38" s="184">
        <v>37.0</v>
      </c>
      <c r="B38" s="200" t="s">
        <v>1480</v>
      </c>
      <c r="C38" s="200">
        <v>2.60408621E8</v>
      </c>
      <c r="D38" s="201" t="s">
        <v>1481</v>
      </c>
      <c r="E38" s="200" t="s">
        <v>1482</v>
      </c>
      <c r="F38" s="202"/>
      <c r="G38" s="200" t="s">
        <v>18</v>
      </c>
      <c r="H38" s="199" t="s">
        <v>745</v>
      </c>
      <c r="I38" s="202"/>
      <c r="J38" s="200" t="s">
        <v>30</v>
      </c>
      <c r="K38" s="202"/>
      <c r="L38" s="204">
        <v>46124.0</v>
      </c>
      <c r="M38" s="187">
        <f t="shared" si="1"/>
        <v>46135</v>
      </c>
      <c r="N38" s="188">
        <f t="shared" si="2"/>
        <v>46143</v>
      </c>
      <c r="O38" s="202"/>
      <c r="S38" s="21" t="s">
        <v>1396</v>
      </c>
    </row>
    <row r="39">
      <c r="A39" s="184">
        <v>38.0</v>
      </c>
      <c r="B39" s="200" t="s">
        <v>1483</v>
      </c>
      <c r="C39" s="200">
        <v>2.60408626E8</v>
      </c>
      <c r="D39" s="201" t="s">
        <v>1484</v>
      </c>
      <c r="E39" s="200" t="s">
        <v>1485</v>
      </c>
      <c r="F39" s="202"/>
      <c r="G39" s="200" t="s">
        <v>18</v>
      </c>
      <c r="H39" s="199" t="s">
        <v>745</v>
      </c>
      <c r="I39" s="202"/>
      <c r="J39" s="200" t="s">
        <v>30</v>
      </c>
      <c r="K39" s="202"/>
      <c r="L39" s="204">
        <v>46124.0</v>
      </c>
      <c r="M39" s="187">
        <f t="shared" si="1"/>
        <v>46135</v>
      </c>
      <c r="N39" s="188">
        <f t="shared" si="2"/>
        <v>46143</v>
      </c>
      <c r="O39" s="202"/>
      <c r="S39" s="21" t="s">
        <v>1396</v>
      </c>
    </row>
    <row r="40">
      <c r="A40" s="184">
        <v>39.0</v>
      </c>
      <c r="B40" s="200" t="s">
        <v>1486</v>
      </c>
      <c r="C40" s="200">
        <v>2.60408634E8</v>
      </c>
      <c r="D40" s="201" t="s">
        <v>1487</v>
      </c>
      <c r="E40" s="200" t="s">
        <v>1488</v>
      </c>
      <c r="F40" s="202"/>
      <c r="G40" s="200" t="s">
        <v>18</v>
      </c>
      <c r="H40" s="199" t="s">
        <v>745</v>
      </c>
      <c r="I40" s="202"/>
      <c r="J40" s="200" t="s">
        <v>30</v>
      </c>
      <c r="K40" s="202"/>
      <c r="L40" s="204">
        <v>46124.0</v>
      </c>
      <c r="M40" s="187">
        <f t="shared" si="1"/>
        <v>46135</v>
      </c>
      <c r="N40" s="188">
        <f t="shared" si="2"/>
        <v>46143</v>
      </c>
      <c r="O40" s="202"/>
      <c r="S40" s="21" t="s">
        <v>1396</v>
      </c>
    </row>
    <row r="41">
      <c r="A41" s="184">
        <v>40.0</v>
      </c>
      <c r="B41" s="200" t="s">
        <v>1489</v>
      </c>
      <c r="C41" s="200">
        <v>2.60408637E8</v>
      </c>
      <c r="D41" s="201" t="s">
        <v>1490</v>
      </c>
      <c r="E41" s="200" t="s">
        <v>1491</v>
      </c>
      <c r="F41" s="202"/>
      <c r="G41" s="200" t="s">
        <v>18</v>
      </c>
      <c r="H41" s="199" t="s">
        <v>745</v>
      </c>
      <c r="I41" s="202"/>
      <c r="J41" s="200" t="s">
        <v>30</v>
      </c>
      <c r="K41" s="202"/>
      <c r="L41" s="204">
        <v>46124.0</v>
      </c>
      <c r="M41" s="187">
        <f t="shared" si="1"/>
        <v>46135</v>
      </c>
      <c r="N41" s="188">
        <f t="shared" si="2"/>
        <v>46143</v>
      </c>
      <c r="O41" s="202"/>
      <c r="S41" s="21" t="s">
        <v>1396</v>
      </c>
    </row>
    <row r="42">
      <c r="A42" s="184">
        <v>41.0</v>
      </c>
      <c r="B42" s="200" t="s">
        <v>1492</v>
      </c>
      <c r="C42" s="200">
        <v>2.60408641E8</v>
      </c>
      <c r="D42" s="201" t="s">
        <v>1493</v>
      </c>
      <c r="E42" s="200" t="s">
        <v>1494</v>
      </c>
      <c r="F42" s="202"/>
      <c r="G42" s="200" t="s">
        <v>18</v>
      </c>
      <c r="H42" s="199" t="s">
        <v>745</v>
      </c>
      <c r="I42" s="202"/>
      <c r="J42" s="200" t="s">
        <v>30</v>
      </c>
      <c r="K42" s="202"/>
      <c r="L42" s="204">
        <v>46124.0</v>
      </c>
      <c r="M42" s="187">
        <f t="shared" si="1"/>
        <v>46135</v>
      </c>
      <c r="N42" s="188">
        <f t="shared" si="2"/>
        <v>46143</v>
      </c>
      <c r="O42" s="202"/>
      <c r="S42" s="21" t="s">
        <v>1396</v>
      </c>
    </row>
    <row r="43">
      <c r="A43" s="184">
        <v>42.0</v>
      </c>
      <c r="B43" s="200" t="s">
        <v>1495</v>
      </c>
      <c r="C43" s="200">
        <v>2.60408645E8</v>
      </c>
      <c r="D43" s="201" t="s">
        <v>1496</v>
      </c>
      <c r="E43" s="200" t="s">
        <v>1497</v>
      </c>
      <c r="F43" s="202"/>
      <c r="G43" s="200" t="s">
        <v>18</v>
      </c>
      <c r="H43" s="199" t="s">
        <v>745</v>
      </c>
      <c r="I43" s="202"/>
      <c r="J43" s="200" t="s">
        <v>30</v>
      </c>
      <c r="K43" s="202"/>
      <c r="L43" s="204">
        <v>46124.0</v>
      </c>
      <c r="M43" s="187">
        <f t="shared" si="1"/>
        <v>46135</v>
      </c>
      <c r="N43" s="188">
        <f t="shared" si="2"/>
        <v>46143</v>
      </c>
      <c r="O43" s="202"/>
      <c r="S43" s="21" t="s">
        <v>1396</v>
      </c>
    </row>
    <row r="44">
      <c r="A44" s="184">
        <v>43.0</v>
      </c>
      <c r="B44" s="200" t="s">
        <v>1498</v>
      </c>
      <c r="C44" s="200">
        <v>2.60408648E8</v>
      </c>
      <c r="D44" s="201" t="s">
        <v>1499</v>
      </c>
      <c r="E44" s="200" t="s">
        <v>1500</v>
      </c>
      <c r="F44" s="202"/>
      <c r="G44" s="200" t="s">
        <v>18</v>
      </c>
      <c r="H44" s="199" t="s">
        <v>745</v>
      </c>
      <c r="I44" s="202"/>
      <c r="J44" s="200" t="s">
        <v>30</v>
      </c>
      <c r="K44" s="202"/>
      <c r="L44" s="204">
        <v>46124.0</v>
      </c>
      <c r="M44" s="187">
        <f t="shared" si="1"/>
        <v>46135</v>
      </c>
      <c r="N44" s="188">
        <f t="shared" si="2"/>
        <v>46143</v>
      </c>
      <c r="O44" s="202"/>
      <c r="S44" s="21" t="s">
        <v>1396</v>
      </c>
    </row>
    <row r="45">
      <c r="A45" s="184">
        <v>44.0</v>
      </c>
      <c r="B45" s="200" t="s">
        <v>1501</v>
      </c>
      <c r="C45" s="200">
        <v>2.6040865E8</v>
      </c>
      <c r="D45" s="208"/>
      <c r="E45" s="200" t="s">
        <v>1502</v>
      </c>
      <c r="F45" s="202"/>
      <c r="G45" s="200" t="s">
        <v>18</v>
      </c>
      <c r="H45" s="199" t="s">
        <v>745</v>
      </c>
      <c r="I45" s="202"/>
      <c r="J45" s="200" t="s">
        <v>30</v>
      </c>
      <c r="K45" s="202"/>
      <c r="L45" s="204">
        <v>46124.0</v>
      </c>
      <c r="M45" s="187">
        <f t="shared" si="1"/>
        <v>46135</v>
      </c>
      <c r="N45" s="188">
        <f t="shared" si="2"/>
        <v>46143</v>
      </c>
      <c r="O45" s="202"/>
      <c r="S45" s="21" t="s">
        <v>1396</v>
      </c>
    </row>
    <row r="46">
      <c r="A46" s="184">
        <v>45.0</v>
      </c>
      <c r="B46" s="200" t="s">
        <v>1503</v>
      </c>
      <c r="C46" s="200">
        <v>2.6041584E8</v>
      </c>
      <c r="D46" s="200" t="s">
        <v>1504</v>
      </c>
      <c r="E46" s="200" t="s">
        <v>1505</v>
      </c>
      <c r="F46" s="202"/>
      <c r="G46" s="200" t="s">
        <v>18</v>
      </c>
      <c r="H46" s="199" t="s">
        <v>745</v>
      </c>
      <c r="I46" s="202"/>
      <c r="J46" s="200" t="s">
        <v>30</v>
      </c>
      <c r="K46" s="202"/>
      <c r="L46" s="204">
        <v>46124.0</v>
      </c>
      <c r="M46" s="187">
        <f t="shared" si="1"/>
        <v>46135</v>
      </c>
      <c r="N46" s="188">
        <f t="shared" si="2"/>
        <v>46143</v>
      </c>
      <c r="O46" s="202"/>
      <c r="S46" s="21" t="s">
        <v>1396</v>
      </c>
    </row>
    <row r="47">
      <c r="A47" s="203">
        <v>46.0</v>
      </c>
      <c r="B47" s="208"/>
      <c r="C47" s="208"/>
      <c r="D47" s="200" t="s">
        <v>1506</v>
      </c>
      <c r="E47" s="200" t="s">
        <v>1507</v>
      </c>
      <c r="F47" s="202"/>
      <c r="G47" s="200" t="s">
        <v>18</v>
      </c>
      <c r="H47" s="199"/>
      <c r="I47" s="202"/>
      <c r="J47" s="200" t="s">
        <v>30</v>
      </c>
      <c r="K47" s="202"/>
      <c r="L47" s="204">
        <v>46124.0</v>
      </c>
      <c r="M47" s="187">
        <f t="shared" si="1"/>
        <v>46135</v>
      </c>
      <c r="N47" s="188">
        <f t="shared" si="2"/>
        <v>46143</v>
      </c>
      <c r="O47" s="202"/>
      <c r="S47" s="21" t="s">
        <v>1396</v>
      </c>
    </row>
    <row r="48">
      <c r="A48" s="184">
        <v>47.0</v>
      </c>
      <c r="B48" s="208"/>
      <c r="C48" s="208"/>
      <c r="D48" s="200" t="s">
        <v>1508</v>
      </c>
      <c r="E48" s="200" t="s">
        <v>1509</v>
      </c>
      <c r="F48" s="202"/>
      <c r="G48" s="200" t="s">
        <v>18</v>
      </c>
      <c r="H48" s="199"/>
      <c r="I48" s="202"/>
      <c r="J48" s="200" t="s">
        <v>30</v>
      </c>
      <c r="K48" s="202"/>
      <c r="L48" s="204">
        <v>46124.0</v>
      </c>
      <c r="M48" s="187">
        <f t="shared" si="1"/>
        <v>46135</v>
      </c>
      <c r="N48" s="188">
        <f t="shared" si="2"/>
        <v>46143</v>
      </c>
      <c r="O48" s="202"/>
      <c r="S48" s="21" t="s">
        <v>1396</v>
      </c>
    </row>
    <row r="49">
      <c r="A49" s="184">
        <v>48.0</v>
      </c>
      <c r="B49" s="208"/>
      <c r="C49" s="208"/>
      <c r="D49" s="200" t="s">
        <v>1510</v>
      </c>
      <c r="E49" s="200" t="s">
        <v>1511</v>
      </c>
      <c r="F49" s="208"/>
      <c r="G49" s="208"/>
      <c r="H49" s="199"/>
      <c r="I49" s="202"/>
      <c r="J49" s="200" t="s">
        <v>30</v>
      </c>
      <c r="K49" s="202"/>
      <c r="L49" s="204">
        <v>46124.0</v>
      </c>
      <c r="M49" s="187">
        <f t="shared" si="1"/>
        <v>46135</v>
      </c>
      <c r="N49" s="188">
        <f t="shared" si="2"/>
        <v>46143</v>
      </c>
      <c r="O49" s="202"/>
      <c r="S49" s="21" t="s">
        <v>1396</v>
      </c>
    </row>
    <row r="50">
      <c r="A50" s="203">
        <v>49.0</v>
      </c>
      <c r="B50" s="200" t="s">
        <v>1512</v>
      </c>
      <c r="C50" s="200">
        <v>2.60410225E8</v>
      </c>
      <c r="D50" s="200" t="s">
        <v>1513</v>
      </c>
      <c r="E50" s="200" t="s">
        <v>1514</v>
      </c>
      <c r="G50" s="200" t="s">
        <v>18</v>
      </c>
      <c r="H50" s="199" t="s">
        <v>745</v>
      </c>
      <c r="I50" s="202"/>
      <c r="J50" s="200" t="s">
        <v>30</v>
      </c>
      <c r="K50" s="202"/>
      <c r="L50" s="204">
        <v>46124.0</v>
      </c>
      <c r="M50" s="187">
        <f t="shared" si="1"/>
        <v>46135</v>
      </c>
      <c r="N50" s="188">
        <f t="shared" si="2"/>
        <v>46143</v>
      </c>
      <c r="O50" s="202"/>
      <c r="S50" s="21" t="s">
        <v>1396</v>
      </c>
    </row>
    <row r="51">
      <c r="A51" s="184">
        <v>50.0</v>
      </c>
      <c r="B51" s="209" t="s">
        <v>1515</v>
      </c>
      <c r="C51" s="209">
        <v>2.60416228E8</v>
      </c>
      <c r="D51" s="210" t="s">
        <v>879</v>
      </c>
      <c r="E51" s="209" t="s">
        <v>1516</v>
      </c>
      <c r="F51" s="45"/>
      <c r="G51" s="209" t="s">
        <v>18</v>
      </c>
      <c r="H51" s="211" t="s">
        <v>40</v>
      </c>
      <c r="I51" s="45"/>
      <c r="J51" s="209" t="s">
        <v>368</v>
      </c>
      <c r="K51" s="45"/>
      <c r="L51" s="209" t="s">
        <v>1517</v>
      </c>
      <c r="M51" s="187">
        <f t="shared" si="1"/>
        <v>46137</v>
      </c>
      <c r="N51" s="188">
        <f t="shared" si="2"/>
        <v>46145</v>
      </c>
      <c r="S51" s="21" t="s">
        <v>1396</v>
      </c>
    </row>
    <row r="52">
      <c r="A52" s="184">
        <v>51.0</v>
      </c>
      <c r="B52" s="209" t="s">
        <v>1518</v>
      </c>
      <c r="C52" s="209">
        <v>2.60416251E8</v>
      </c>
      <c r="D52" s="210" t="s">
        <v>879</v>
      </c>
      <c r="E52" s="209" t="s">
        <v>1519</v>
      </c>
      <c r="F52" s="45"/>
      <c r="G52" s="209" t="s">
        <v>18</v>
      </c>
      <c r="H52" s="211" t="s">
        <v>40</v>
      </c>
      <c r="I52" s="45"/>
      <c r="J52" s="209" t="s">
        <v>368</v>
      </c>
      <c r="K52" s="45"/>
      <c r="L52" s="209" t="s">
        <v>1517</v>
      </c>
      <c r="M52" s="187">
        <f t="shared" si="1"/>
        <v>46137</v>
      </c>
      <c r="N52" s="188">
        <f t="shared" si="2"/>
        <v>46145</v>
      </c>
      <c r="S52" s="21" t="s">
        <v>1396</v>
      </c>
    </row>
    <row r="53">
      <c r="A53" s="203">
        <v>52.0</v>
      </c>
      <c r="B53" s="209" t="s">
        <v>1520</v>
      </c>
      <c r="C53" s="209">
        <v>2.60416264E8</v>
      </c>
      <c r="D53" s="210" t="s">
        <v>879</v>
      </c>
      <c r="E53" s="209" t="s">
        <v>1521</v>
      </c>
      <c r="F53" s="45"/>
      <c r="G53" s="209" t="s">
        <v>18</v>
      </c>
      <c r="H53" s="211" t="s">
        <v>40</v>
      </c>
      <c r="I53" s="45"/>
      <c r="J53" s="209" t="s">
        <v>368</v>
      </c>
      <c r="K53" s="45"/>
      <c r="L53" s="209" t="s">
        <v>1517</v>
      </c>
      <c r="M53" s="187">
        <f t="shared" si="1"/>
        <v>46137</v>
      </c>
      <c r="N53" s="188">
        <f t="shared" si="2"/>
        <v>46145</v>
      </c>
      <c r="S53" s="21" t="s">
        <v>1396</v>
      </c>
    </row>
    <row r="54">
      <c r="A54" s="184">
        <v>53.0</v>
      </c>
      <c r="B54" s="209" t="s">
        <v>1522</v>
      </c>
      <c r="C54" s="209">
        <v>2.6041629E8</v>
      </c>
      <c r="D54" s="210" t="s">
        <v>879</v>
      </c>
      <c r="E54" s="209" t="s">
        <v>1523</v>
      </c>
      <c r="F54" s="45"/>
      <c r="G54" s="209" t="s">
        <v>18</v>
      </c>
      <c r="H54" s="211" t="s">
        <v>40</v>
      </c>
      <c r="I54" s="45"/>
      <c r="J54" s="209" t="s">
        <v>368</v>
      </c>
      <c r="K54" s="45"/>
      <c r="L54" s="209" t="s">
        <v>1517</v>
      </c>
      <c r="M54" s="187">
        <f t="shared" si="1"/>
        <v>46137</v>
      </c>
      <c r="N54" s="188">
        <f t="shared" si="2"/>
        <v>46145</v>
      </c>
      <c r="S54" s="21" t="s">
        <v>1396</v>
      </c>
    </row>
    <row r="55">
      <c r="A55" s="184">
        <v>54.0</v>
      </c>
      <c r="B55" s="209" t="s">
        <v>1524</v>
      </c>
      <c r="C55" s="209">
        <v>2.6041635E8</v>
      </c>
      <c r="D55" s="210" t="s">
        <v>879</v>
      </c>
      <c r="E55" s="209" t="s">
        <v>1525</v>
      </c>
      <c r="F55" s="45"/>
      <c r="G55" s="209" t="s">
        <v>18</v>
      </c>
      <c r="H55" s="211" t="s">
        <v>40</v>
      </c>
      <c r="I55" s="45"/>
      <c r="J55" s="209" t="s">
        <v>368</v>
      </c>
      <c r="K55" s="45"/>
      <c r="L55" s="209" t="s">
        <v>1517</v>
      </c>
      <c r="M55" s="187">
        <f t="shared" si="1"/>
        <v>46137</v>
      </c>
      <c r="N55" s="188">
        <f t="shared" si="2"/>
        <v>46145</v>
      </c>
      <c r="S55" s="21" t="s">
        <v>1396</v>
      </c>
    </row>
    <row r="56">
      <c r="A56" s="203">
        <v>55.0</v>
      </c>
      <c r="B56" s="209" t="s">
        <v>1526</v>
      </c>
      <c r="C56" s="212">
        <v>2.60428727E8</v>
      </c>
      <c r="D56" s="210" t="s">
        <v>1527</v>
      </c>
      <c r="E56" s="212" t="s">
        <v>1528</v>
      </c>
      <c r="F56" s="45"/>
      <c r="G56" s="212" t="s">
        <v>18</v>
      </c>
      <c r="H56" s="211" t="s">
        <v>264</v>
      </c>
      <c r="I56" s="45"/>
      <c r="J56" s="56" t="s">
        <v>359</v>
      </c>
      <c r="K56" s="45"/>
      <c r="L56" s="209" t="s">
        <v>1529</v>
      </c>
      <c r="M56" s="187">
        <f t="shared" si="1"/>
        <v>46138</v>
      </c>
      <c r="N56" s="188">
        <f t="shared" si="2"/>
        <v>46146</v>
      </c>
      <c r="S56" s="21" t="s">
        <v>1396</v>
      </c>
    </row>
    <row r="57">
      <c r="A57" s="184">
        <v>56.0</v>
      </c>
      <c r="B57" s="209" t="s">
        <v>1530</v>
      </c>
      <c r="C57" s="209">
        <v>2.60429699E8</v>
      </c>
      <c r="D57" s="210" t="s">
        <v>1527</v>
      </c>
      <c r="E57" s="209" t="s">
        <v>1531</v>
      </c>
      <c r="F57" s="45"/>
      <c r="G57" s="209" t="s">
        <v>18</v>
      </c>
      <c r="H57" s="211" t="s">
        <v>112</v>
      </c>
      <c r="I57" s="45"/>
      <c r="J57" s="209" t="s">
        <v>30</v>
      </c>
      <c r="K57" s="45"/>
      <c r="L57" s="209" t="s">
        <v>1532</v>
      </c>
      <c r="M57" s="187">
        <f t="shared" si="1"/>
        <v>46139</v>
      </c>
      <c r="N57" s="188">
        <f t="shared" si="2"/>
        <v>46147</v>
      </c>
      <c r="S57" s="21" t="s">
        <v>1396</v>
      </c>
    </row>
    <row r="58">
      <c r="A58" s="184">
        <v>57.0</v>
      </c>
      <c r="B58" s="209" t="s">
        <v>1533</v>
      </c>
      <c r="C58" s="209">
        <v>2.60429706E8</v>
      </c>
      <c r="D58" s="210" t="s">
        <v>1527</v>
      </c>
      <c r="E58" s="209" t="s">
        <v>1534</v>
      </c>
      <c r="F58" s="45"/>
      <c r="G58" s="209" t="s">
        <v>18</v>
      </c>
      <c r="H58" s="211" t="s">
        <v>112</v>
      </c>
      <c r="I58" s="45"/>
      <c r="J58" s="209" t="s">
        <v>30</v>
      </c>
      <c r="K58" s="45"/>
      <c r="L58" s="209" t="s">
        <v>1532</v>
      </c>
      <c r="M58" s="187">
        <f t="shared" si="1"/>
        <v>46139</v>
      </c>
      <c r="N58" s="188">
        <f t="shared" si="2"/>
        <v>46147</v>
      </c>
      <c r="S58" s="21" t="s">
        <v>1396</v>
      </c>
    </row>
    <row r="59">
      <c r="A59" s="184">
        <v>58.0</v>
      </c>
      <c r="B59" s="209" t="s">
        <v>1535</v>
      </c>
      <c r="C59" s="209">
        <v>2.60429719E8</v>
      </c>
      <c r="D59" s="210" t="s">
        <v>1527</v>
      </c>
      <c r="E59" s="209" t="s">
        <v>1536</v>
      </c>
      <c r="F59" s="45"/>
      <c r="G59" s="209" t="s">
        <v>18</v>
      </c>
      <c r="H59" s="211" t="s">
        <v>112</v>
      </c>
      <c r="I59" s="45"/>
      <c r="J59" s="209" t="s">
        <v>30</v>
      </c>
      <c r="K59" s="45"/>
      <c r="L59" s="209" t="s">
        <v>1532</v>
      </c>
      <c r="M59" s="187">
        <f t="shared" si="1"/>
        <v>46139</v>
      </c>
      <c r="N59" s="188">
        <f t="shared" si="2"/>
        <v>46147</v>
      </c>
      <c r="S59" s="21" t="s">
        <v>1396</v>
      </c>
    </row>
    <row r="60">
      <c r="A60" s="184">
        <v>59.0</v>
      </c>
      <c r="B60" s="209" t="s">
        <v>1537</v>
      </c>
      <c r="C60" s="209">
        <v>2.60429733E8</v>
      </c>
      <c r="D60" s="210" t="s">
        <v>1527</v>
      </c>
      <c r="E60" s="209" t="s">
        <v>1538</v>
      </c>
      <c r="F60" s="45"/>
      <c r="G60" s="209" t="s">
        <v>18</v>
      </c>
      <c r="H60" s="211" t="s">
        <v>112</v>
      </c>
      <c r="I60" s="45"/>
      <c r="J60" s="209" t="s">
        <v>30</v>
      </c>
      <c r="K60" s="45"/>
      <c r="L60" s="209" t="s">
        <v>1532</v>
      </c>
      <c r="M60" s="187">
        <f t="shared" si="1"/>
        <v>46139</v>
      </c>
      <c r="N60" s="188">
        <f t="shared" si="2"/>
        <v>46147</v>
      </c>
      <c r="S60" s="21" t="s">
        <v>1396</v>
      </c>
    </row>
    <row r="61">
      <c r="A61" s="203">
        <v>60.0</v>
      </c>
      <c r="B61" s="209" t="s">
        <v>1539</v>
      </c>
      <c r="C61" s="209">
        <v>2.60429742E8</v>
      </c>
      <c r="D61" s="210" t="s">
        <v>1527</v>
      </c>
      <c r="E61" s="209" t="s">
        <v>1540</v>
      </c>
      <c r="F61" s="45"/>
      <c r="G61" s="209" t="s">
        <v>18</v>
      </c>
      <c r="H61" s="211" t="s">
        <v>112</v>
      </c>
      <c r="I61" s="45"/>
      <c r="J61" s="209" t="s">
        <v>30</v>
      </c>
      <c r="K61" s="45"/>
      <c r="L61" s="209" t="s">
        <v>1532</v>
      </c>
      <c r="M61" s="187">
        <f t="shared" si="1"/>
        <v>46139</v>
      </c>
      <c r="N61" s="188">
        <f t="shared" si="2"/>
        <v>46147</v>
      </c>
      <c r="S61" s="21" t="s">
        <v>1396</v>
      </c>
    </row>
    <row r="62">
      <c r="A62" s="184">
        <v>61.0</v>
      </c>
      <c r="B62" s="209" t="s">
        <v>1541</v>
      </c>
      <c r="C62" s="209">
        <v>2.6042978E8</v>
      </c>
      <c r="D62" s="210" t="s">
        <v>1527</v>
      </c>
      <c r="E62" s="209" t="s">
        <v>1542</v>
      </c>
      <c r="F62" s="45"/>
      <c r="G62" s="209" t="s">
        <v>18</v>
      </c>
      <c r="H62" s="211" t="s">
        <v>112</v>
      </c>
      <c r="I62" s="45"/>
      <c r="J62" s="209" t="s">
        <v>30</v>
      </c>
      <c r="K62" s="45"/>
      <c r="L62" s="209" t="s">
        <v>1532</v>
      </c>
      <c r="M62" s="187">
        <f t="shared" si="1"/>
        <v>46139</v>
      </c>
      <c r="N62" s="188">
        <f t="shared" si="2"/>
        <v>46147</v>
      </c>
      <c r="S62" s="21" t="s">
        <v>1396</v>
      </c>
    </row>
    <row r="63">
      <c r="A63" s="184">
        <v>62.0</v>
      </c>
      <c r="B63" s="209" t="s">
        <v>1543</v>
      </c>
      <c r="C63" s="209">
        <v>2.60429792E8</v>
      </c>
      <c r="D63" s="210" t="s">
        <v>1527</v>
      </c>
      <c r="E63" s="209" t="s">
        <v>1544</v>
      </c>
      <c r="F63" s="45"/>
      <c r="G63" s="209" t="s">
        <v>18</v>
      </c>
      <c r="H63" s="211" t="s">
        <v>112</v>
      </c>
      <c r="I63" s="45"/>
      <c r="J63" s="209" t="s">
        <v>30</v>
      </c>
      <c r="K63" s="45"/>
      <c r="L63" s="209" t="s">
        <v>1532</v>
      </c>
      <c r="M63" s="187">
        <f t="shared" si="1"/>
        <v>46139</v>
      </c>
      <c r="N63" s="188">
        <f t="shared" si="2"/>
        <v>46147</v>
      </c>
      <c r="S63" s="21" t="s">
        <v>1396</v>
      </c>
    </row>
    <row r="64">
      <c r="A64" s="203">
        <v>63.0</v>
      </c>
      <c r="B64" s="209" t="s">
        <v>1545</v>
      </c>
      <c r="C64" s="209">
        <v>2.60429801E8</v>
      </c>
      <c r="D64" s="210" t="s">
        <v>1527</v>
      </c>
      <c r="E64" s="209" t="s">
        <v>1546</v>
      </c>
      <c r="F64" s="45"/>
      <c r="G64" s="209" t="s">
        <v>18</v>
      </c>
      <c r="H64" s="211" t="s">
        <v>112</v>
      </c>
      <c r="I64" s="45"/>
      <c r="J64" s="209" t="s">
        <v>30</v>
      </c>
      <c r="K64" s="45"/>
      <c r="L64" s="209" t="s">
        <v>1532</v>
      </c>
      <c r="M64" s="187">
        <f t="shared" si="1"/>
        <v>46139</v>
      </c>
      <c r="N64" s="188">
        <f t="shared" si="2"/>
        <v>46147</v>
      </c>
      <c r="S64" s="21" t="s">
        <v>1396</v>
      </c>
    </row>
    <row r="65">
      <c r="A65" s="184">
        <v>64.0</v>
      </c>
      <c r="B65" s="209" t="s">
        <v>1547</v>
      </c>
      <c r="C65" s="209">
        <v>2.60429807E8</v>
      </c>
      <c r="D65" s="210" t="s">
        <v>1527</v>
      </c>
      <c r="E65" s="209" t="s">
        <v>1548</v>
      </c>
      <c r="F65" s="45"/>
      <c r="G65" s="209" t="s">
        <v>18</v>
      </c>
      <c r="H65" s="211" t="s">
        <v>112</v>
      </c>
      <c r="I65" s="45"/>
      <c r="J65" s="209" t="s">
        <v>30</v>
      </c>
      <c r="K65" s="45"/>
      <c r="L65" s="209" t="s">
        <v>1532</v>
      </c>
      <c r="M65" s="187">
        <f t="shared" si="1"/>
        <v>46139</v>
      </c>
      <c r="N65" s="188">
        <f t="shared" si="2"/>
        <v>46147</v>
      </c>
      <c r="S65" s="21" t="s">
        <v>1396</v>
      </c>
    </row>
    <row r="66">
      <c r="A66" s="184">
        <v>65.0</v>
      </c>
      <c r="B66" s="209" t="s">
        <v>1549</v>
      </c>
      <c r="C66" s="209">
        <v>2.60429814E8</v>
      </c>
      <c r="D66" s="210" t="s">
        <v>1527</v>
      </c>
      <c r="E66" s="209" t="s">
        <v>1550</v>
      </c>
      <c r="F66" s="45"/>
      <c r="G66" s="209" t="s">
        <v>18</v>
      </c>
      <c r="H66" s="211" t="s">
        <v>112</v>
      </c>
      <c r="I66" s="45"/>
      <c r="J66" s="209" t="s">
        <v>30</v>
      </c>
      <c r="K66" s="45"/>
      <c r="L66" s="209" t="s">
        <v>1532</v>
      </c>
      <c r="M66" s="187">
        <f t="shared" si="1"/>
        <v>46139</v>
      </c>
      <c r="N66" s="188">
        <f t="shared" si="2"/>
        <v>46147</v>
      </c>
      <c r="S66" s="21" t="s">
        <v>1396</v>
      </c>
    </row>
    <row r="67">
      <c r="A67" s="203">
        <v>66.0</v>
      </c>
      <c r="B67" s="209" t="s">
        <v>1551</v>
      </c>
      <c r="C67" s="209">
        <v>2.60429824E8</v>
      </c>
      <c r="D67" s="210" t="s">
        <v>1527</v>
      </c>
      <c r="E67" s="209" t="s">
        <v>1552</v>
      </c>
      <c r="F67" s="45"/>
      <c r="G67" s="209" t="s">
        <v>18</v>
      </c>
      <c r="H67" s="211" t="s">
        <v>112</v>
      </c>
      <c r="I67" s="45"/>
      <c r="J67" s="209" t="s">
        <v>30</v>
      </c>
      <c r="K67" s="45"/>
      <c r="L67" s="209" t="s">
        <v>1532</v>
      </c>
      <c r="M67" s="187">
        <f t="shared" si="1"/>
        <v>46139</v>
      </c>
      <c r="N67" s="188">
        <f t="shared" si="2"/>
        <v>46147</v>
      </c>
      <c r="S67" s="21" t="s">
        <v>1396</v>
      </c>
    </row>
    <row r="68">
      <c r="A68" s="184">
        <v>67.0</v>
      </c>
      <c r="B68" s="209" t="s">
        <v>1553</v>
      </c>
      <c r="C68" s="209">
        <v>2.60429837E8</v>
      </c>
      <c r="D68" s="210" t="s">
        <v>1527</v>
      </c>
      <c r="E68" s="209" t="s">
        <v>1554</v>
      </c>
      <c r="F68" s="45"/>
      <c r="G68" s="209" t="s">
        <v>18</v>
      </c>
      <c r="H68" s="211" t="s">
        <v>112</v>
      </c>
      <c r="I68" s="45"/>
      <c r="J68" s="209" t="s">
        <v>30</v>
      </c>
      <c r="K68" s="45"/>
      <c r="L68" s="209" t="s">
        <v>1532</v>
      </c>
      <c r="M68" s="187">
        <f t="shared" si="1"/>
        <v>46139</v>
      </c>
      <c r="N68" s="188">
        <f t="shared" si="2"/>
        <v>46147</v>
      </c>
      <c r="S68" s="21" t="s">
        <v>1396</v>
      </c>
    </row>
    <row r="69">
      <c r="A69" s="184">
        <v>68.0</v>
      </c>
      <c r="B69" s="209" t="s">
        <v>1555</v>
      </c>
      <c r="C69" s="209">
        <v>2.60429868E8</v>
      </c>
      <c r="D69" s="210" t="s">
        <v>1527</v>
      </c>
      <c r="E69" s="209" t="s">
        <v>1556</v>
      </c>
      <c r="F69" s="45"/>
      <c r="G69" s="209" t="s">
        <v>18</v>
      </c>
      <c r="H69" s="211" t="s">
        <v>112</v>
      </c>
      <c r="I69" s="45"/>
      <c r="J69" s="209" t="s">
        <v>30</v>
      </c>
      <c r="K69" s="45"/>
      <c r="L69" s="209" t="s">
        <v>1532</v>
      </c>
      <c r="M69" s="187">
        <f t="shared" si="1"/>
        <v>46139</v>
      </c>
      <c r="N69" s="188">
        <f t="shared" si="2"/>
        <v>46147</v>
      </c>
      <c r="S69" s="21" t="s">
        <v>1396</v>
      </c>
    </row>
    <row r="70">
      <c r="A70" s="184">
        <v>69.0</v>
      </c>
      <c r="B70" s="209" t="s">
        <v>1557</v>
      </c>
      <c r="C70" s="209">
        <v>2.60429881E8</v>
      </c>
      <c r="D70" s="210" t="s">
        <v>1527</v>
      </c>
      <c r="E70" s="209" t="s">
        <v>1558</v>
      </c>
      <c r="F70" s="45"/>
      <c r="G70" s="209" t="s">
        <v>18</v>
      </c>
      <c r="H70" s="211" t="s">
        <v>112</v>
      </c>
      <c r="I70" s="45"/>
      <c r="J70" s="209" t="s">
        <v>30</v>
      </c>
      <c r="K70" s="45"/>
      <c r="L70" s="209" t="s">
        <v>1532</v>
      </c>
      <c r="M70" s="187">
        <f t="shared" si="1"/>
        <v>46139</v>
      </c>
      <c r="N70" s="188">
        <f t="shared" si="2"/>
        <v>46147</v>
      </c>
      <c r="S70" s="21" t="s">
        <v>1396</v>
      </c>
    </row>
    <row r="71">
      <c r="A71" s="184">
        <v>70.0</v>
      </c>
      <c r="B71" s="209" t="s">
        <v>1559</v>
      </c>
      <c r="C71" s="209">
        <v>2.60429887E8</v>
      </c>
      <c r="D71" s="210" t="s">
        <v>1527</v>
      </c>
      <c r="E71" s="209" t="s">
        <v>1560</v>
      </c>
      <c r="F71" s="45"/>
      <c r="G71" s="209" t="s">
        <v>18</v>
      </c>
      <c r="H71" s="211" t="s">
        <v>112</v>
      </c>
      <c r="I71" s="45"/>
      <c r="J71" s="209" t="s">
        <v>30</v>
      </c>
      <c r="K71" s="45"/>
      <c r="L71" s="209" t="s">
        <v>1532</v>
      </c>
      <c r="M71" s="187">
        <f t="shared" si="1"/>
        <v>46139</v>
      </c>
      <c r="N71" s="188">
        <f t="shared" si="2"/>
        <v>46147</v>
      </c>
      <c r="S71" s="21" t="s">
        <v>1396</v>
      </c>
    </row>
    <row r="72">
      <c r="A72" s="203">
        <v>71.0</v>
      </c>
      <c r="B72" s="209" t="s">
        <v>1561</v>
      </c>
      <c r="C72" s="209">
        <v>2.60429893E8</v>
      </c>
      <c r="D72" s="210" t="s">
        <v>1527</v>
      </c>
      <c r="E72" s="209" t="s">
        <v>1562</v>
      </c>
      <c r="F72" s="45"/>
      <c r="G72" s="209" t="s">
        <v>18</v>
      </c>
      <c r="H72" s="211" t="s">
        <v>112</v>
      </c>
      <c r="I72" s="45"/>
      <c r="J72" s="209" t="s">
        <v>30</v>
      </c>
      <c r="K72" s="45"/>
      <c r="L72" s="209" t="s">
        <v>1532</v>
      </c>
      <c r="M72" s="187">
        <f t="shared" si="1"/>
        <v>46139</v>
      </c>
      <c r="N72" s="188">
        <f t="shared" si="2"/>
        <v>46147</v>
      </c>
      <c r="S72" s="21" t="s">
        <v>1396</v>
      </c>
    </row>
    <row r="73">
      <c r="A73" s="184">
        <v>72.0</v>
      </c>
      <c r="B73" s="209" t="s">
        <v>1563</v>
      </c>
      <c r="C73" s="209">
        <v>2.60429899E8</v>
      </c>
      <c r="D73" s="210" t="s">
        <v>1527</v>
      </c>
      <c r="E73" s="209" t="s">
        <v>1564</v>
      </c>
      <c r="F73" s="45"/>
      <c r="G73" s="209" t="s">
        <v>18</v>
      </c>
      <c r="H73" s="211" t="s">
        <v>112</v>
      </c>
      <c r="I73" s="45"/>
      <c r="J73" s="209" t="s">
        <v>30</v>
      </c>
      <c r="K73" s="45"/>
      <c r="L73" s="209" t="s">
        <v>1532</v>
      </c>
      <c r="M73" s="187">
        <f t="shared" si="1"/>
        <v>46139</v>
      </c>
      <c r="N73" s="188">
        <f t="shared" si="2"/>
        <v>46147</v>
      </c>
      <c r="S73" s="21" t="s">
        <v>1396</v>
      </c>
    </row>
    <row r="74">
      <c r="A74" s="184">
        <v>73.0</v>
      </c>
      <c r="B74" s="209" t="s">
        <v>1565</v>
      </c>
      <c r="C74" s="209">
        <v>2.60429912E8</v>
      </c>
      <c r="D74" s="210" t="s">
        <v>1527</v>
      </c>
      <c r="E74" s="209" t="s">
        <v>1566</v>
      </c>
      <c r="F74" s="45"/>
      <c r="G74" s="209" t="s">
        <v>18</v>
      </c>
      <c r="H74" s="211" t="s">
        <v>112</v>
      </c>
      <c r="I74" s="45"/>
      <c r="J74" s="209" t="s">
        <v>30</v>
      </c>
      <c r="K74" s="45"/>
      <c r="L74" s="209" t="s">
        <v>1532</v>
      </c>
      <c r="M74" s="187">
        <f t="shared" si="1"/>
        <v>46139</v>
      </c>
      <c r="N74" s="188">
        <f t="shared" si="2"/>
        <v>46147</v>
      </c>
      <c r="S74" s="21" t="s">
        <v>1396</v>
      </c>
    </row>
    <row r="75">
      <c r="A75" s="203">
        <v>74.0</v>
      </c>
      <c r="B75" s="209" t="s">
        <v>1567</v>
      </c>
      <c r="C75" s="209">
        <v>2.60429923E8</v>
      </c>
      <c r="D75" s="210" t="s">
        <v>1527</v>
      </c>
      <c r="E75" s="209" t="s">
        <v>1568</v>
      </c>
      <c r="F75" s="45"/>
      <c r="G75" s="209" t="s">
        <v>18</v>
      </c>
      <c r="H75" s="211" t="s">
        <v>112</v>
      </c>
      <c r="I75" s="45"/>
      <c r="J75" s="209" t="s">
        <v>30</v>
      </c>
      <c r="K75" s="45"/>
      <c r="L75" s="209" t="s">
        <v>1532</v>
      </c>
      <c r="M75" s="187">
        <f t="shared" si="1"/>
        <v>46139</v>
      </c>
      <c r="N75" s="188">
        <f t="shared" si="2"/>
        <v>46147</v>
      </c>
      <c r="S75" s="21" t="s">
        <v>1396</v>
      </c>
    </row>
    <row r="76">
      <c r="H76" s="213"/>
      <c r="S76" s="38"/>
    </row>
    <row r="77">
      <c r="H77" s="213"/>
      <c r="S77" s="38"/>
    </row>
    <row r="78">
      <c r="H78" s="213"/>
      <c r="S78" s="38"/>
    </row>
    <row r="79">
      <c r="H79" s="213"/>
      <c r="S79" s="38"/>
    </row>
    <row r="80">
      <c r="H80" s="213"/>
      <c r="S80" s="38"/>
    </row>
    <row r="81">
      <c r="H81" s="213"/>
      <c r="S81" s="38"/>
    </row>
    <row r="82">
      <c r="H82" s="213"/>
      <c r="S82" s="38"/>
    </row>
    <row r="83">
      <c r="H83" s="213"/>
      <c r="S83" s="38"/>
    </row>
    <row r="84">
      <c r="H84" s="213"/>
      <c r="S84" s="38"/>
    </row>
    <row r="85">
      <c r="H85" s="213"/>
      <c r="S85" s="38"/>
    </row>
    <row r="86">
      <c r="H86" s="213"/>
      <c r="S86" s="38"/>
    </row>
    <row r="87">
      <c r="H87" s="213"/>
      <c r="S87" s="38"/>
    </row>
    <row r="88">
      <c r="H88" s="213"/>
      <c r="S88" s="38"/>
    </row>
    <row r="89">
      <c r="H89" s="213"/>
      <c r="S89" s="38"/>
    </row>
    <row r="90">
      <c r="H90" s="213"/>
      <c r="S90" s="38"/>
    </row>
    <row r="91">
      <c r="H91" s="213"/>
      <c r="S91" s="38"/>
    </row>
    <row r="92">
      <c r="H92" s="213"/>
      <c r="S92" s="38"/>
    </row>
    <row r="93">
      <c r="H93" s="213"/>
      <c r="S93" s="38"/>
    </row>
    <row r="94">
      <c r="H94" s="213"/>
      <c r="S94" s="38"/>
    </row>
    <row r="95">
      <c r="H95" s="213"/>
      <c r="S95" s="38"/>
    </row>
    <row r="96">
      <c r="H96" s="213"/>
      <c r="S96" s="38"/>
    </row>
    <row r="97">
      <c r="H97" s="213"/>
      <c r="S97" s="38"/>
    </row>
    <row r="98">
      <c r="H98" s="213"/>
      <c r="S98" s="38"/>
    </row>
    <row r="99">
      <c r="H99" s="213"/>
      <c r="S99" s="38"/>
    </row>
    <row r="100">
      <c r="H100" s="213"/>
      <c r="S100" s="38"/>
    </row>
    <row r="101">
      <c r="H101" s="213"/>
      <c r="S101" s="38"/>
    </row>
    <row r="102">
      <c r="H102" s="213"/>
      <c r="S102" s="38"/>
    </row>
    <row r="103">
      <c r="H103" s="213"/>
      <c r="S103" s="38"/>
    </row>
    <row r="104">
      <c r="H104" s="213"/>
      <c r="S104" s="38"/>
    </row>
    <row r="105">
      <c r="H105" s="213"/>
      <c r="S105" s="38"/>
    </row>
    <row r="106">
      <c r="H106" s="213"/>
      <c r="S106" s="38"/>
    </row>
    <row r="107">
      <c r="H107" s="213"/>
      <c r="S107" s="38"/>
    </row>
    <row r="108">
      <c r="H108" s="213"/>
      <c r="S108" s="38"/>
    </row>
    <row r="109">
      <c r="H109" s="213"/>
      <c r="S109" s="38"/>
    </row>
    <row r="110">
      <c r="H110" s="213"/>
      <c r="S110" s="38"/>
    </row>
    <row r="111">
      <c r="H111" s="213"/>
      <c r="S111" s="38"/>
    </row>
    <row r="112">
      <c r="H112" s="213"/>
      <c r="S112" s="38"/>
    </row>
    <row r="113">
      <c r="H113" s="213"/>
      <c r="S113" s="38"/>
    </row>
    <row r="114">
      <c r="H114" s="213"/>
      <c r="S114" s="38"/>
    </row>
    <row r="115">
      <c r="H115" s="213"/>
      <c r="S115" s="38"/>
    </row>
    <row r="116">
      <c r="H116" s="213"/>
      <c r="S116" s="38"/>
    </row>
    <row r="117">
      <c r="H117" s="213"/>
      <c r="S117" s="38"/>
    </row>
    <row r="118">
      <c r="H118" s="213"/>
      <c r="S118" s="38"/>
    </row>
    <row r="119">
      <c r="H119" s="213"/>
      <c r="S119" s="38"/>
    </row>
    <row r="120">
      <c r="H120" s="213"/>
      <c r="S120" s="38"/>
    </row>
    <row r="121">
      <c r="H121" s="213"/>
      <c r="S121" s="38"/>
    </row>
    <row r="122">
      <c r="H122" s="213"/>
      <c r="S122" s="38"/>
    </row>
    <row r="123">
      <c r="H123" s="213"/>
      <c r="S123" s="38"/>
    </row>
    <row r="124">
      <c r="H124" s="213"/>
      <c r="S124" s="38"/>
    </row>
    <row r="125">
      <c r="H125" s="213"/>
      <c r="S125" s="38"/>
    </row>
    <row r="126">
      <c r="H126" s="213"/>
      <c r="S126" s="38"/>
    </row>
    <row r="127">
      <c r="H127" s="213"/>
      <c r="S127" s="38"/>
    </row>
    <row r="128">
      <c r="H128" s="213"/>
      <c r="S128" s="38"/>
    </row>
    <row r="129">
      <c r="H129" s="213"/>
      <c r="S129" s="38"/>
    </row>
    <row r="130">
      <c r="H130" s="213"/>
      <c r="S130" s="38"/>
    </row>
    <row r="131">
      <c r="H131" s="213"/>
      <c r="S131" s="38"/>
    </row>
    <row r="132">
      <c r="H132" s="213"/>
      <c r="S132" s="38"/>
    </row>
    <row r="133">
      <c r="H133" s="213"/>
      <c r="S133" s="38"/>
    </row>
    <row r="134">
      <c r="H134" s="213"/>
      <c r="S134" s="38"/>
    </row>
    <row r="135">
      <c r="H135" s="213"/>
      <c r="S135" s="38"/>
    </row>
    <row r="136">
      <c r="H136" s="213"/>
      <c r="S136" s="38"/>
    </row>
    <row r="137">
      <c r="H137" s="213"/>
      <c r="S137" s="38"/>
    </row>
    <row r="138">
      <c r="H138" s="213"/>
      <c r="S138" s="38"/>
    </row>
    <row r="139">
      <c r="H139" s="213"/>
      <c r="S139" s="38"/>
    </row>
    <row r="140">
      <c r="H140" s="213"/>
      <c r="S140" s="38"/>
    </row>
    <row r="141">
      <c r="H141" s="213"/>
      <c r="S141" s="38"/>
    </row>
    <row r="142">
      <c r="H142" s="213"/>
      <c r="S142" s="38"/>
    </row>
    <row r="143">
      <c r="H143" s="213"/>
      <c r="S143" s="38"/>
    </row>
    <row r="144">
      <c r="H144" s="213"/>
      <c r="S144" s="38"/>
    </row>
    <row r="145">
      <c r="H145" s="213"/>
      <c r="S145" s="38"/>
    </row>
    <row r="146">
      <c r="H146" s="213"/>
      <c r="S146" s="38"/>
    </row>
    <row r="147">
      <c r="H147" s="213"/>
      <c r="S147" s="38"/>
    </row>
    <row r="148">
      <c r="H148" s="213"/>
      <c r="S148" s="38"/>
    </row>
    <row r="149">
      <c r="H149" s="213"/>
      <c r="S149" s="38"/>
    </row>
    <row r="150">
      <c r="H150" s="213"/>
      <c r="S150" s="38"/>
    </row>
    <row r="151">
      <c r="H151" s="213"/>
    </row>
    <row r="152">
      <c r="H152" s="213"/>
    </row>
    <row r="153">
      <c r="H153" s="213"/>
    </row>
    <row r="154">
      <c r="H154" s="213"/>
    </row>
    <row r="155">
      <c r="H155" s="213"/>
    </row>
    <row r="156">
      <c r="H156" s="213"/>
    </row>
    <row r="157">
      <c r="H157" s="213"/>
    </row>
    <row r="158">
      <c r="H158" s="213"/>
    </row>
    <row r="159">
      <c r="H159" s="213"/>
    </row>
    <row r="160">
      <c r="H160" s="213"/>
    </row>
    <row r="161">
      <c r="H161" s="213"/>
    </row>
    <row r="162">
      <c r="H162" s="213"/>
    </row>
    <row r="163">
      <c r="H163" s="213"/>
    </row>
    <row r="164">
      <c r="H164" s="213"/>
    </row>
    <row r="165">
      <c r="H165" s="213"/>
    </row>
    <row r="166">
      <c r="H166" s="213"/>
    </row>
    <row r="167">
      <c r="H167" s="213"/>
    </row>
    <row r="168">
      <c r="H168" s="213"/>
    </row>
    <row r="169">
      <c r="H169" s="213"/>
    </row>
    <row r="170">
      <c r="H170" s="213"/>
    </row>
    <row r="171">
      <c r="H171" s="213"/>
    </row>
    <row r="172">
      <c r="H172" s="213"/>
    </row>
    <row r="173">
      <c r="H173" s="213"/>
    </row>
    <row r="174">
      <c r="H174" s="213"/>
    </row>
    <row r="175">
      <c r="H175" s="213"/>
    </row>
    <row r="176">
      <c r="H176" s="213"/>
    </row>
    <row r="177">
      <c r="H177" s="213"/>
    </row>
    <row r="178">
      <c r="H178" s="213"/>
    </row>
    <row r="179">
      <c r="H179" s="213"/>
    </row>
    <row r="180">
      <c r="H180" s="213"/>
    </row>
    <row r="181">
      <c r="H181" s="213"/>
    </row>
    <row r="182">
      <c r="H182" s="213"/>
    </row>
    <row r="183">
      <c r="H183" s="213"/>
    </row>
    <row r="184">
      <c r="H184" s="213"/>
    </row>
    <row r="185">
      <c r="H185" s="213"/>
    </row>
    <row r="186">
      <c r="H186" s="213"/>
    </row>
    <row r="187">
      <c r="H187" s="213"/>
    </row>
    <row r="188">
      <c r="H188" s="213"/>
    </row>
    <row r="189">
      <c r="H189" s="213"/>
    </row>
    <row r="190">
      <c r="H190" s="213"/>
    </row>
    <row r="191">
      <c r="H191" s="213"/>
    </row>
    <row r="192">
      <c r="H192" s="213"/>
    </row>
    <row r="193">
      <c r="H193" s="213"/>
    </row>
    <row r="194">
      <c r="H194" s="213"/>
    </row>
    <row r="195">
      <c r="H195" s="213"/>
    </row>
    <row r="196">
      <c r="H196" s="213"/>
    </row>
    <row r="197">
      <c r="H197" s="213"/>
    </row>
    <row r="198">
      <c r="H198" s="213"/>
    </row>
    <row r="199">
      <c r="H199" s="213"/>
    </row>
    <row r="200">
      <c r="H200" s="213"/>
    </row>
    <row r="201">
      <c r="H201" s="213"/>
    </row>
    <row r="202">
      <c r="H202" s="213"/>
    </row>
    <row r="203">
      <c r="H203" s="213"/>
    </row>
    <row r="204">
      <c r="H204" s="213"/>
    </row>
    <row r="205">
      <c r="H205" s="213"/>
    </row>
    <row r="206">
      <c r="H206" s="213"/>
    </row>
    <row r="207">
      <c r="H207" s="213"/>
    </row>
    <row r="208">
      <c r="H208" s="213"/>
    </row>
    <row r="209">
      <c r="H209" s="213"/>
    </row>
    <row r="210">
      <c r="H210" s="213"/>
    </row>
    <row r="211">
      <c r="H211" s="213"/>
    </row>
    <row r="212">
      <c r="H212" s="213"/>
    </row>
    <row r="213">
      <c r="H213" s="213"/>
    </row>
    <row r="214">
      <c r="H214" s="213"/>
    </row>
    <row r="215">
      <c r="H215" s="213"/>
    </row>
    <row r="216">
      <c r="H216" s="213"/>
    </row>
    <row r="217">
      <c r="H217" s="213"/>
    </row>
    <row r="218">
      <c r="H218" s="213"/>
    </row>
    <row r="219">
      <c r="H219" s="213"/>
    </row>
    <row r="220">
      <c r="H220" s="213"/>
    </row>
    <row r="221">
      <c r="H221" s="213"/>
    </row>
    <row r="222">
      <c r="H222" s="213"/>
    </row>
    <row r="223">
      <c r="H223" s="213"/>
    </row>
    <row r="224">
      <c r="H224" s="213"/>
    </row>
    <row r="225">
      <c r="H225" s="213"/>
    </row>
    <row r="226">
      <c r="H226" s="213"/>
    </row>
    <row r="227">
      <c r="H227" s="213"/>
    </row>
    <row r="228">
      <c r="H228" s="213"/>
    </row>
    <row r="229">
      <c r="H229" s="213"/>
    </row>
    <row r="230">
      <c r="H230" s="213"/>
    </row>
    <row r="231">
      <c r="H231" s="213"/>
    </row>
    <row r="232">
      <c r="H232" s="213"/>
    </row>
    <row r="233">
      <c r="H233" s="213"/>
    </row>
    <row r="234">
      <c r="H234" s="213"/>
    </row>
    <row r="235">
      <c r="H235" s="213"/>
    </row>
    <row r="236">
      <c r="H236" s="213"/>
    </row>
    <row r="237">
      <c r="H237" s="213"/>
    </row>
    <row r="238">
      <c r="H238" s="213"/>
    </row>
    <row r="239">
      <c r="H239" s="213"/>
    </row>
    <row r="240">
      <c r="H240" s="213"/>
    </row>
    <row r="241">
      <c r="H241" s="213"/>
    </row>
    <row r="242">
      <c r="H242" s="213"/>
    </row>
    <row r="243">
      <c r="H243" s="213"/>
    </row>
    <row r="244">
      <c r="H244" s="213"/>
    </row>
    <row r="245">
      <c r="H245" s="213"/>
    </row>
    <row r="246">
      <c r="H246" s="213"/>
    </row>
    <row r="247">
      <c r="H247" s="213"/>
    </row>
    <row r="248">
      <c r="H248" s="213"/>
    </row>
    <row r="249">
      <c r="H249" s="213"/>
    </row>
    <row r="250">
      <c r="H250" s="213"/>
    </row>
    <row r="251">
      <c r="H251" s="213"/>
    </row>
    <row r="252">
      <c r="H252" s="213"/>
    </row>
    <row r="253">
      <c r="H253" s="213"/>
    </row>
    <row r="254">
      <c r="H254" s="213"/>
    </row>
    <row r="255">
      <c r="H255" s="213"/>
    </row>
    <row r="256">
      <c r="H256" s="213"/>
    </row>
    <row r="257">
      <c r="H257" s="213"/>
    </row>
    <row r="258">
      <c r="H258" s="213"/>
    </row>
    <row r="259">
      <c r="H259" s="213"/>
    </row>
    <row r="260">
      <c r="H260" s="213"/>
    </row>
    <row r="261">
      <c r="H261" s="213"/>
    </row>
    <row r="262">
      <c r="H262" s="213"/>
    </row>
    <row r="263">
      <c r="H263" s="213"/>
    </row>
    <row r="264">
      <c r="H264" s="213"/>
    </row>
    <row r="265">
      <c r="H265" s="213"/>
    </row>
    <row r="266">
      <c r="H266" s="213"/>
    </row>
    <row r="267">
      <c r="H267" s="213"/>
    </row>
    <row r="268">
      <c r="H268" s="213"/>
    </row>
    <row r="269">
      <c r="H269" s="213"/>
    </row>
    <row r="270">
      <c r="H270" s="213"/>
    </row>
    <row r="271">
      <c r="H271" s="213"/>
    </row>
    <row r="272">
      <c r="H272" s="213"/>
    </row>
    <row r="273">
      <c r="H273" s="213"/>
    </row>
    <row r="274">
      <c r="H274" s="213"/>
    </row>
    <row r="275">
      <c r="H275" s="213"/>
    </row>
    <row r="276">
      <c r="H276" s="213"/>
    </row>
    <row r="277">
      <c r="H277" s="213"/>
    </row>
    <row r="278">
      <c r="H278" s="213"/>
    </row>
    <row r="279">
      <c r="H279" s="213"/>
    </row>
    <row r="280">
      <c r="H280" s="213"/>
    </row>
    <row r="281">
      <c r="H281" s="213"/>
    </row>
    <row r="282">
      <c r="H282" s="213"/>
    </row>
    <row r="283">
      <c r="H283" s="213"/>
    </row>
    <row r="284">
      <c r="H284" s="213"/>
    </row>
    <row r="285">
      <c r="H285" s="213"/>
    </row>
    <row r="286">
      <c r="H286" s="213"/>
    </row>
    <row r="287">
      <c r="H287" s="213"/>
    </row>
    <row r="288">
      <c r="H288" s="213"/>
    </row>
    <row r="289">
      <c r="H289" s="213"/>
    </row>
    <row r="290">
      <c r="H290" s="213"/>
    </row>
    <row r="291">
      <c r="H291" s="213"/>
    </row>
    <row r="292">
      <c r="H292" s="213"/>
    </row>
    <row r="293">
      <c r="H293" s="213"/>
    </row>
    <row r="294">
      <c r="H294" s="213"/>
    </row>
    <row r="295">
      <c r="H295" s="213"/>
    </row>
    <row r="296">
      <c r="H296" s="213"/>
    </row>
    <row r="297">
      <c r="H297" s="213"/>
    </row>
    <row r="298">
      <c r="H298" s="213"/>
    </row>
    <row r="299">
      <c r="H299" s="213"/>
    </row>
    <row r="300">
      <c r="H300" s="213"/>
    </row>
    <row r="301">
      <c r="H301" s="213"/>
    </row>
    <row r="302">
      <c r="H302" s="213"/>
    </row>
    <row r="303">
      <c r="H303" s="213"/>
    </row>
    <row r="304">
      <c r="H304" s="213"/>
    </row>
    <row r="305">
      <c r="H305" s="213"/>
    </row>
    <row r="306">
      <c r="H306" s="213"/>
    </row>
    <row r="307">
      <c r="H307" s="213"/>
    </row>
    <row r="308">
      <c r="H308" s="213"/>
    </row>
    <row r="309">
      <c r="H309" s="213"/>
    </row>
    <row r="310">
      <c r="H310" s="213"/>
    </row>
    <row r="311">
      <c r="H311" s="213"/>
    </row>
    <row r="312">
      <c r="H312" s="213"/>
    </row>
    <row r="313">
      <c r="H313" s="213"/>
    </row>
    <row r="314">
      <c r="H314" s="213"/>
    </row>
    <row r="315">
      <c r="H315" s="213"/>
    </row>
    <row r="316">
      <c r="H316" s="213"/>
    </row>
    <row r="317">
      <c r="H317" s="213"/>
    </row>
    <row r="318">
      <c r="H318" s="213"/>
    </row>
    <row r="319">
      <c r="H319" s="213"/>
    </row>
    <row r="320">
      <c r="H320" s="213"/>
    </row>
    <row r="321">
      <c r="H321" s="213"/>
    </row>
    <row r="322">
      <c r="H322" s="213"/>
    </row>
    <row r="323">
      <c r="H323" s="213"/>
    </row>
    <row r="324">
      <c r="H324" s="213"/>
    </row>
    <row r="325">
      <c r="H325" s="213"/>
    </row>
    <row r="326">
      <c r="H326" s="213"/>
    </row>
    <row r="327">
      <c r="H327" s="213"/>
    </row>
    <row r="328">
      <c r="H328" s="213"/>
    </row>
    <row r="329">
      <c r="H329" s="213"/>
    </row>
    <row r="330">
      <c r="H330" s="213"/>
    </row>
    <row r="331">
      <c r="H331" s="213"/>
    </row>
    <row r="332">
      <c r="H332" s="213"/>
    </row>
    <row r="333">
      <c r="H333" s="213"/>
    </row>
    <row r="334">
      <c r="H334" s="213"/>
    </row>
    <row r="335">
      <c r="H335" s="213"/>
    </row>
    <row r="336">
      <c r="H336" s="213"/>
    </row>
    <row r="337">
      <c r="H337" s="213"/>
    </row>
    <row r="338">
      <c r="H338" s="213"/>
    </row>
    <row r="339">
      <c r="H339" s="213"/>
    </row>
    <row r="340">
      <c r="H340" s="213"/>
    </row>
    <row r="341">
      <c r="H341" s="213"/>
    </row>
    <row r="342">
      <c r="H342" s="213"/>
    </row>
    <row r="343">
      <c r="H343" s="213"/>
    </row>
    <row r="344">
      <c r="H344" s="213"/>
    </row>
    <row r="345">
      <c r="H345" s="213"/>
    </row>
    <row r="346">
      <c r="H346" s="213"/>
    </row>
    <row r="347">
      <c r="H347" s="213"/>
    </row>
    <row r="348">
      <c r="H348" s="213"/>
    </row>
    <row r="349">
      <c r="H349" s="213"/>
    </row>
    <row r="350">
      <c r="H350" s="213"/>
    </row>
    <row r="351">
      <c r="H351" s="213"/>
    </row>
    <row r="352">
      <c r="H352" s="213"/>
    </row>
    <row r="353">
      <c r="H353" s="213"/>
    </row>
    <row r="354">
      <c r="H354" s="213"/>
    </row>
    <row r="355">
      <c r="H355" s="213"/>
    </row>
    <row r="356">
      <c r="H356" s="213"/>
    </row>
    <row r="357">
      <c r="H357" s="213"/>
    </row>
    <row r="358">
      <c r="H358" s="213"/>
    </row>
    <row r="359">
      <c r="H359" s="213"/>
    </row>
    <row r="360">
      <c r="H360" s="213"/>
    </row>
    <row r="361">
      <c r="H361" s="213"/>
    </row>
    <row r="362">
      <c r="H362" s="213"/>
    </row>
    <row r="363">
      <c r="H363" s="213"/>
    </row>
    <row r="364">
      <c r="H364" s="213"/>
    </row>
    <row r="365">
      <c r="H365" s="213"/>
    </row>
    <row r="366">
      <c r="H366" s="213"/>
    </row>
    <row r="367">
      <c r="H367" s="213"/>
    </row>
    <row r="368">
      <c r="H368" s="213"/>
    </row>
    <row r="369">
      <c r="H369" s="213"/>
    </row>
    <row r="370">
      <c r="H370" s="213"/>
    </row>
    <row r="371">
      <c r="H371" s="213"/>
    </row>
    <row r="372">
      <c r="H372" s="213"/>
    </row>
    <row r="373">
      <c r="H373" s="213"/>
    </row>
    <row r="374">
      <c r="H374" s="213"/>
    </row>
    <row r="375">
      <c r="H375" s="213"/>
    </row>
    <row r="376">
      <c r="H376" s="213"/>
    </row>
    <row r="377">
      <c r="H377" s="213"/>
    </row>
    <row r="378">
      <c r="H378" s="213"/>
    </row>
    <row r="379">
      <c r="H379" s="213"/>
    </row>
    <row r="380">
      <c r="H380" s="213"/>
    </row>
    <row r="381">
      <c r="H381" s="213"/>
    </row>
    <row r="382">
      <c r="H382" s="213"/>
    </row>
    <row r="383">
      <c r="H383" s="213"/>
    </row>
    <row r="384">
      <c r="H384" s="213"/>
    </row>
    <row r="385">
      <c r="H385" s="213"/>
    </row>
    <row r="386">
      <c r="H386" s="213"/>
    </row>
    <row r="387">
      <c r="H387" s="213"/>
    </row>
    <row r="388">
      <c r="H388" s="213"/>
    </row>
    <row r="389">
      <c r="H389" s="213"/>
    </row>
    <row r="390">
      <c r="H390" s="213"/>
    </row>
    <row r="391">
      <c r="H391" s="213"/>
    </row>
    <row r="392">
      <c r="H392" s="213"/>
    </row>
    <row r="393">
      <c r="H393" s="213"/>
    </row>
    <row r="394">
      <c r="H394" s="213"/>
    </row>
    <row r="395">
      <c r="H395" s="213"/>
    </row>
    <row r="396">
      <c r="H396" s="213"/>
    </row>
    <row r="397">
      <c r="H397" s="213"/>
    </row>
    <row r="398">
      <c r="H398" s="213"/>
    </row>
    <row r="399">
      <c r="H399" s="213"/>
    </row>
    <row r="400">
      <c r="H400" s="213"/>
    </row>
    <row r="401">
      <c r="H401" s="213"/>
    </row>
    <row r="402">
      <c r="H402" s="213"/>
    </row>
    <row r="403">
      <c r="H403" s="213"/>
    </row>
    <row r="404">
      <c r="H404" s="213"/>
    </row>
    <row r="405">
      <c r="H405" s="213"/>
    </row>
    <row r="406">
      <c r="H406" s="213"/>
    </row>
    <row r="407">
      <c r="H407" s="213"/>
    </row>
    <row r="408">
      <c r="H408" s="213"/>
    </row>
    <row r="409">
      <c r="H409" s="213"/>
    </row>
    <row r="410">
      <c r="H410" s="213"/>
    </row>
    <row r="411">
      <c r="H411" s="213"/>
    </row>
    <row r="412">
      <c r="H412" s="213"/>
    </row>
    <row r="413">
      <c r="H413" s="213"/>
    </row>
    <row r="414">
      <c r="H414" s="213"/>
    </row>
    <row r="415">
      <c r="H415" s="213"/>
    </row>
    <row r="416">
      <c r="H416" s="213"/>
    </row>
    <row r="417">
      <c r="H417" s="213"/>
    </row>
    <row r="418">
      <c r="H418" s="213"/>
    </row>
    <row r="419">
      <c r="H419" s="213"/>
    </row>
    <row r="420">
      <c r="H420" s="213"/>
    </row>
    <row r="421">
      <c r="H421" s="213"/>
    </row>
    <row r="422">
      <c r="H422" s="213"/>
    </row>
    <row r="423">
      <c r="H423" s="213"/>
    </row>
    <row r="424">
      <c r="H424" s="213"/>
    </row>
    <row r="425">
      <c r="H425" s="213"/>
    </row>
    <row r="426">
      <c r="H426" s="213"/>
    </row>
    <row r="427">
      <c r="H427" s="213"/>
    </row>
    <row r="428">
      <c r="H428" s="213"/>
    </row>
    <row r="429">
      <c r="H429" s="213"/>
    </row>
    <row r="430">
      <c r="H430" s="213"/>
    </row>
    <row r="431">
      <c r="H431" s="213"/>
    </row>
    <row r="432">
      <c r="H432" s="213"/>
    </row>
    <row r="433">
      <c r="H433" s="213"/>
    </row>
    <row r="434">
      <c r="H434" s="213"/>
    </row>
    <row r="435">
      <c r="H435" s="213"/>
    </row>
    <row r="436">
      <c r="H436" s="213"/>
    </row>
    <row r="437">
      <c r="H437" s="213"/>
    </row>
    <row r="438">
      <c r="H438" s="213"/>
    </row>
    <row r="439">
      <c r="H439" s="213"/>
    </row>
    <row r="440">
      <c r="H440" s="213"/>
    </row>
    <row r="441">
      <c r="H441" s="213"/>
    </row>
    <row r="442">
      <c r="H442" s="213"/>
    </row>
    <row r="443">
      <c r="H443" s="213"/>
    </row>
    <row r="444">
      <c r="H444" s="213"/>
    </row>
    <row r="445">
      <c r="H445" s="213"/>
    </row>
    <row r="446">
      <c r="H446" s="213"/>
    </row>
    <row r="447">
      <c r="H447" s="213"/>
    </row>
    <row r="448">
      <c r="H448" s="213"/>
    </row>
    <row r="449">
      <c r="H449" s="213"/>
    </row>
    <row r="450">
      <c r="H450" s="213"/>
    </row>
    <row r="451">
      <c r="H451" s="213"/>
    </row>
    <row r="452">
      <c r="H452" s="213"/>
    </row>
    <row r="453">
      <c r="H453" s="213"/>
    </row>
    <row r="454">
      <c r="H454" s="213"/>
    </row>
    <row r="455">
      <c r="H455" s="213"/>
    </row>
    <row r="456">
      <c r="H456" s="213"/>
    </row>
    <row r="457">
      <c r="H457" s="213"/>
    </row>
    <row r="458">
      <c r="H458" s="213"/>
    </row>
    <row r="459">
      <c r="H459" s="213"/>
    </row>
    <row r="460">
      <c r="H460" s="213"/>
    </row>
    <row r="461">
      <c r="H461" s="213"/>
    </row>
    <row r="462">
      <c r="H462" s="213"/>
    </row>
    <row r="463">
      <c r="H463" s="213"/>
    </row>
    <row r="464">
      <c r="H464" s="213"/>
    </row>
    <row r="465">
      <c r="H465" s="213"/>
    </row>
    <row r="466">
      <c r="H466" s="213"/>
    </row>
    <row r="467">
      <c r="H467" s="213"/>
    </row>
    <row r="468">
      <c r="H468" s="213"/>
    </row>
    <row r="469">
      <c r="H469" s="213"/>
    </row>
    <row r="470">
      <c r="H470" s="213"/>
    </row>
    <row r="471">
      <c r="H471" s="213"/>
    </row>
    <row r="472">
      <c r="H472" s="213"/>
    </row>
    <row r="473">
      <c r="H473" s="213"/>
    </row>
    <row r="474">
      <c r="H474" s="213"/>
    </row>
    <row r="475">
      <c r="H475" s="213"/>
    </row>
    <row r="476">
      <c r="H476" s="213"/>
    </row>
    <row r="477">
      <c r="H477" s="213"/>
    </row>
    <row r="478">
      <c r="H478" s="213"/>
    </row>
    <row r="479">
      <c r="H479" s="213"/>
    </row>
    <row r="480">
      <c r="H480" s="213"/>
    </row>
    <row r="481">
      <c r="H481" s="213"/>
    </row>
    <row r="482">
      <c r="H482" s="213"/>
    </row>
    <row r="483">
      <c r="H483" s="213"/>
    </row>
    <row r="484">
      <c r="H484" s="213"/>
    </row>
    <row r="485">
      <c r="H485" s="213"/>
    </row>
    <row r="486">
      <c r="H486" s="213"/>
    </row>
    <row r="487">
      <c r="H487" s="213"/>
    </row>
    <row r="488">
      <c r="H488" s="213"/>
    </row>
    <row r="489">
      <c r="H489" s="213"/>
    </row>
    <row r="490">
      <c r="H490" s="213"/>
    </row>
    <row r="491">
      <c r="H491" s="213"/>
    </row>
    <row r="492">
      <c r="H492" s="213"/>
    </row>
    <row r="493">
      <c r="H493" s="213"/>
    </row>
    <row r="494">
      <c r="H494" s="213"/>
    </row>
    <row r="495">
      <c r="H495" s="213"/>
    </row>
    <row r="496">
      <c r="H496" s="213"/>
    </row>
    <row r="497">
      <c r="H497" s="213"/>
    </row>
    <row r="498">
      <c r="H498" s="213"/>
    </row>
    <row r="499">
      <c r="H499" s="213"/>
    </row>
    <row r="500">
      <c r="H500" s="213"/>
    </row>
    <row r="501">
      <c r="H501" s="213"/>
    </row>
    <row r="502">
      <c r="H502" s="213"/>
    </row>
    <row r="503">
      <c r="H503" s="213"/>
    </row>
    <row r="504">
      <c r="H504" s="213"/>
    </row>
    <row r="505">
      <c r="H505" s="213"/>
    </row>
    <row r="506">
      <c r="H506" s="213"/>
    </row>
    <row r="507">
      <c r="H507" s="213"/>
    </row>
    <row r="508">
      <c r="H508" s="213"/>
    </row>
    <row r="509">
      <c r="H509" s="213"/>
    </row>
    <row r="510">
      <c r="H510" s="213"/>
    </row>
    <row r="511">
      <c r="H511" s="213"/>
    </row>
    <row r="512">
      <c r="H512" s="213"/>
    </row>
    <row r="513">
      <c r="H513" s="213"/>
    </row>
    <row r="514">
      <c r="H514" s="213"/>
    </row>
    <row r="515">
      <c r="H515" s="213"/>
    </row>
    <row r="516">
      <c r="H516" s="213"/>
    </row>
    <row r="517">
      <c r="H517" s="213"/>
    </row>
    <row r="518">
      <c r="H518" s="213"/>
    </row>
    <row r="519">
      <c r="H519" s="213"/>
    </row>
    <row r="520">
      <c r="H520" s="213"/>
    </row>
    <row r="521">
      <c r="H521" s="213"/>
    </row>
    <row r="522">
      <c r="H522" s="213"/>
    </row>
    <row r="523">
      <c r="H523" s="213"/>
    </row>
    <row r="524">
      <c r="H524" s="213"/>
    </row>
    <row r="525">
      <c r="H525" s="213"/>
    </row>
    <row r="526">
      <c r="H526" s="213"/>
    </row>
    <row r="527">
      <c r="H527" s="213"/>
    </row>
    <row r="528">
      <c r="H528" s="213"/>
    </row>
    <row r="529">
      <c r="H529" s="213"/>
    </row>
    <row r="530">
      <c r="H530" s="213"/>
    </row>
    <row r="531">
      <c r="H531" s="213"/>
    </row>
    <row r="532">
      <c r="H532" s="213"/>
    </row>
    <row r="533">
      <c r="H533" s="213"/>
    </row>
    <row r="534">
      <c r="H534" s="213"/>
    </row>
    <row r="535">
      <c r="H535" s="213"/>
    </row>
    <row r="536">
      <c r="H536" s="213"/>
    </row>
    <row r="537">
      <c r="H537" s="213"/>
    </row>
    <row r="538">
      <c r="H538" s="213"/>
    </row>
    <row r="539">
      <c r="H539" s="213"/>
    </row>
    <row r="540">
      <c r="H540" s="213"/>
    </row>
    <row r="541">
      <c r="H541" s="213"/>
    </row>
    <row r="542">
      <c r="H542" s="213"/>
    </row>
    <row r="543">
      <c r="H543" s="213"/>
    </row>
    <row r="544">
      <c r="H544" s="213"/>
    </row>
    <row r="545">
      <c r="H545" s="213"/>
    </row>
    <row r="546">
      <c r="H546" s="213"/>
    </row>
    <row r="547">
      <c r="H547" s="213"/>
    </row>
    <row r="548">
      <c r="H548" s="213"/>
    </row>
    <row r="549">
      <c r="H549" s="213"/>
    </row>
    <row r="550">
      <c r="H550" s="213"/>
    </row>
    <row r="551">
      <c r="H551" s="213"/>
    </row>
    <row r="552">
      <c r="H552" s="213"/>
    </row>
    <row r="553">
      <c r="H553" s="213"/>
    </row>
    <row r="554">
      <c r="H554" s="213"/>
    </row>
    <row r="555">
      <c r="H555" s="213"/>
    </row>
    <row r="556">
      <c r="H556" s="213"/>
    </row>
    <row r="557">
      <c r="H557" s="213"/>
    </row>
    <row r="558">
      <c r="H558" s="213"/>
    </row>
    <row r="559">
      <c r="H559" s="213"/>
    </row>
    <row r="560">
      <c r="H560" s="213"/>
    </row>
    <row r="561">
      <c r="H561" s="213"/>
    </row>
    <row r="562">
      <c r="H562" s="213"/>
    </row>
    <row r="563">
      <c r="H563" s="213"/>
    </row>
    <row r="564">
      <c r="H564" s="213"/>
    </row>
    <row r="565">
      <c r="H565" s="213"/>
    </row>
    <row r="566">
      <c r="H566" s="213"/>
    </row>
    <row r="567">
      <c r="H567" s="213"/>
    </row>
    <row r="568">
      <c r="H568" s="213"/>
    </row>
    <row r="569">
      <c r="H569" s="213"/>
    </row>
    <row r="570">
      <c r="H570" s="213"/>
    </row>
    <row r="571">
      <c r="H571" s="213"/>
    </row>
    <row r="572">
      <c r="H572" s="213"/>
    </row>
    <row r="573">
      <c r="H573" s="213"/>
    </row>
    <row r="574">
      <c r="H574" s="213"/>
    </row>
    <row r="575">
      <c r="H575" s="213"/>
    </row>
    <row r="576">
      <c r="H576" s="213"/>
    </row>
    <row r="577">
      <c r="H577" s="213"/>
    </row>
    <row r="578">
      <c r="H578" s="213"/>
    </row>
    <row r="579">
      <c r="H579" s="213"/>
    </row>
    <row r="580">
      <c r="H580" s="213"/>
    </row>
    <row r="581">
      <c r="H581" s="213"/>
    </row>
    <row r="582">
      <c r="H582" s="213"/>
    </row>
    <row r="583">
      <c r="H583" s="213"/>
    </row>
    <row r="584">
      <c r="H584" s="213"/>
    </row>
    <row r="585">
      <c r="H585" s="213"/>
    </row>
    <row r="586">
      <c r="H586" s="213"/>
    </row>
    <row r="587">
      <c r="H587" s="213"/>
    </row>
    <row r="588">
      <c r="H588" s="213"/>
    </row>
    <row r="589">
      <c r="H589" s="213"/>
    </row>
    <row r="590">
      <c r="H590" s="213"/>
    </row>
    <row r="591">
      <c r="H591" s="213"/>
    </row>
    <row r="592">
      <c r="H592" s="213"/>
    </row>
    <row r="593">
      <c r="H593" s="213"/>
    </row>
    <row r="594">
      <c r="H594" s="213"/>
    </row>
    <row r="595">
      <c r="H595" s="213"/>
    </row>
    <row r="596">
      <c r="H596" s="213"/>
    </row>
    <row r="597">
      <c r="H597" s="213"/>
    </row>
    <row r="598">
      <c r="H598" s="213"/>
    </row>
    <row r="599">
      <c r="H599" s="213"/>
    </row>
    <row r="600">
      <c r="H600" s="213"/>
    </row>
    <row r="601">
      <c r="H601" s="213"/>
    </row>
    <row r="602">
      <c r="H602" s="213"/>
    </row>
    <row r="603">
      <c r="H603" s="213"/>
    </row>
    <row r="604">
      <c r="H604" s="213"/>
    </row>
    <row r="605">
      <c r="H605" s="213"/>
    </row>
    <row r="606">
      <c r="H606" s="213"/>
    </row>
    <row r="607">
      <c r="H607" s="213"/>
    </row>
    <row r="608">
      <c r="H608" s="213"/>
    </row>
    <row r="609">
      <c r="H609" s="213"/>
    </row>
    <row r="610">
      <c r="H610" s="213"/>
    </row>
    <row r="611">
      <c r="H611" s="213"/>
    </row>
    <row r="612">
      <c r="H612" s="213"/>
    </row>
    <row r="613">
      <c r="H613" s="213"/>
    </row>
    <row r="614">
      <c r="H614" s="213"/>
    </row>
    <row r="615">
      <c r="H615" s="213"/>
    </row>
    <row r="616">
      <c r="H616" s="213"/>
    </row>
    <row r="617">
      <c r="H617" s="213"/>
    </row>
    <row r="618">
      <c r="H618" s="213"/>
    </row>
    <row r="619">
      <c r="H619" s="213"/>
    </row>
    <row r="620">
      <c r="H620" s="213"/>
    </row>
    <row r="621">
      <c r="H621" s="213"/>
    </row>
    <row r="622">
      <c r="H622" s="213"/>
    </row>
    <row r="623">
      <c r="H623" s="213"/>
    </row>
    <row r="624">
      <c r="H624" s="213"/>
    </row>
    <row r="625">
      <c r="H625" s="213"/>
    </row>
    <row r="626">
      <c r="H626" s="213"/>
    </row>
    <row r="627">
      <c r="H627" s="213"/>
    </row>
    <row r="628">
      <c r="H628" s="213"/>
    </row>
    <row r="629">
      <c r="H629" s="213"/>
    </row>
    <row r="630">
      <c r="H630" s="213"/>
    </row>
    <row r="631">
      <c r="H631" s="213"/>
    </row>
    <row r="632">
      <c r="H632" s="213"/>
    </row>
    <row r="633">
      <c r="H633" s="213"/>
    </row>
    <row r="634">
      <c r="H634" s="213"/>
    </row>
    <row r="635">
      <c r="H635" s="213"/>
    </row>
    <row r="636">
      <c r="H636" s="213"/>
    </row>
    <row r="637">
      <c r="H637" s="213"/>
    </row>
    <row r="638">
      <c r="H638" s="213"/>
    </row>
    <row r="639">
      <c r="H639" s="213"/>
    </row>
    <row r="640">
      <c r="H640" s="213"/>
    </row>
    <row r="641">
      <c r="H641" s="213"/>
    </row>
    <row r="642">
      <c r="H642" s="213"/>
    </row>
    <row r="643">
      <c r="H643" s="213"/>
    </row>
    <row r="644">
      <c r="H644" s="213"/>
    </row>
    <row r="645">
      <c r="H645" s="213"/>
    </row>
    <row r="646">
      <c r="H646" s="213"/>
    </row>
    <row r="647">
      <c r="H647" s="213"/>
    </row>
    <row r="648">
      <c r="H648" s="213"/>
    </row>
    <row r="649">
      <c r="H649" s="213"/>
    </row>
    <row r="650">
      <c r="H650" s="213"/>
    </row>
    <row r="651">
      <c r="H651" s="213"/>
    </row>
    <row r="652">
      <c r="H652" s="213"/>
    </row>
    <row r="653">
      <c r="H653" s="213"/>
    </row>
    <row r="654">
      <c r="H654" s="213"/>
    </row>
    <row r="655">
      <c r="H655" s="213"/>
    </row>
    <row r="656">
      <c r="H656" s="213"/>
    </row>
    <row r="657">
      <c r="H657" s="213"/>
    </row>
    <row r="658">
      <c r="H658" s="213"/>
    </row>
    <row r="659">
      <c r="H659" s="213"/>
    </row>
    <row r="660">
      <c r="H660" s="213"/>
    </row>
    <row r="661">
      <c r="H661" s="213"/>
    </row>
    <row r="662">
      <c r="H662" s="213"/>
    </row>
    <row r="663">
      <c r="H663" s="213"/>
    </row>
    <row r="664">
      <c r="H664" s="213"/>
    </row>
    <row r="665">
      <c r="H665" s="213"/>
    </row>
    <row r="666">
      <c r="H666" s="213"/>
    </row>
    <row r="667">
      <c r="H667" s="213"/>
    </row>
    <row r="668">
      <c r="H668" s="213"/>
    </row>
    <row r="669">
      <c r="H669" s="213"/>
    </row>
    <row r="670">
      <c r="H670" s="213"/>
    </row>
    <row r="671">
      <c r="H671" s="213"/>
    </row>
    <row r="672">
      <c r="H672" s="213"/>
    </row>
    <row r="673">
      <c r="H673" s="213"/>
    </row>
    <row r="674">
      <c r="H674" s="213"/>
    </row>
    <row r="675">
      <c r="H675" s="213"/>
    </row>
    <row r="676">
      <c r="H676" s="213"/>
    </row>
    <row r="677">
      <c r="H677" s="213"/>
    </row>
    <row r="678">
      <c r="H678" s="213"/>
    </row>
    <row r="679">
      <c r="H679" s="213"/>
    </row>
    <row r="680">
      <c r="H680" s="213"/>
    </row>
    <row r="681">
      <c r="H681" s="213"/>
    </row>
    <row r="682">
      <c r="H682" s="213"/>
    </row>
    <row r="683">
      <c r="H683" s="213"/>
    </row>
    <row r="684">
      <c r="H684" s="213"/>
    </row>
    <row r="685">
      <c r="H685" s="213"/>
    </row>
    <row r="686">
      <c r="H686" s="213"/>
    </row>
    <row r="687">
      <c r="H687" s="213"/>
    </row>
    <row r="688">
      <c r="H688" s="213"/>
    </row>
    <row r="689">
      <c r="H689" s="213"/>
    </row>
    <row r="690">
      <c r="H690" s="213"/>
    </row>
    <row r="691">
      <c r="H691" s="213"/>
    </row>
    <row r="692">
      <c r="H692" s="213"/>
    </row>
    <row r="693">
      <c r="H693" s="213"/>
    </row>
    <row r="694">
      <c r="H694" s="213"/>
    </row>
    <row r="695">
      <c r="H695" s="213"/>
    </row>
    <row r="696">
      <c r="H696" s="213"/>
    </row>
    <row r="697">
      <c r="H697" s="213"/>
    </row>
    <row r="698">
      <c r="H698" s="213"/>
    </row>
    <row r="699">
      <c r="H699" s="213"/>
    </row>
    <row r="700">
      <c r="H700" s="213"/>
    </row>
    <row r="701">
      <c r="H701" s="213"/>
    </row>
    <row r="702">
      <c r="H702" s="213"/>
    </row>
    <row r="703">
      <c r="H703" s="213"/>
    </row>
    <row r="704">
      <c r="H704" s="213"/>
    </row>
    <row r="705">
      <c r="H705" s="213"/>
    </row>
    <row r="706">
      <c r="H706" s="213"/>
    </row>
    <row r="707">
      <c r="H707" s="213"/>
    </row>
    <row r="708">
      <c r="H708" s="213"/>
    </row>
    <row r="709">
      <c r="H709" s="213"/>
    </row>
    <row r="710">
      <c r="H710" s="213"/>
    </row>
    <row r="711">
      <c r="H711" s="213"/>
    </row>
    <row r="712">
      <c r="H712" s="213"/>
    </row>
    <row r="713">
      <c r="H713" s="213"/>
    </row>
    <row r="714">
      <c r="H714" s="213"/>
    </row>
    <row r="715">
      <c r="H715" s="213"/>
    </row>
    <row r="716">
      <c r="H716" s="213"/>
    </row>
    <row r="717">
      <c r="H717" s="213"/>
    </row>
    <row r="718">
      <c r="H718" s="213"/>
    </row>
    <row r="719">
      <c r="H719" s="213"/>
    </row>
    <row r="720">
      <c r="H720" s="213"/>
    </row>
    <row r="721">
      <c r="H721" s="213"/>
    </row>
    <row r="722">
      <c r="H722" s="213"/>
    </row>
    <row r="723">
      <c r="H723" s="213"/>
    </row>
    <row r="724">
      <c r="H724" s="213"/>
    </row>
    <row r="725">
      <c r="H725" s="213"/>
    </row>
    <row r="726">
      <c r="H726" s="213"/>
    </row>
    <row r="727">
      <c r="H727" s="213"/>
    </row>
    <row r="728">
      <c r="H728" s="213"/>
    </row>
    <row r="729">
      <c r="H729" s="213"/>
    </row>
    <row r="730">
      <c r="H730" s="213"/>
    </row>
    <row r="731">
      <c r="H731" s="213"/>
    </row>
    <row r="732">
      <c r="H732" s="213"/>
    </row>
    <row r="733">
      <c r="H733" s="213"/>
    </row>
    <row r="734">
      <c r="H734" s="213"/>
    </row>
    <row r="735">
      <c r="H735" s="213"/>
    </row>
    <row r="736">
      <c r="H736" s="213"/>
    </row>
    <row r="737">
      <c r="H737" s="213"/>
    </row>
    <row r="738">
      <c r="H738" s="213"/>
    </row>
    <row r="739">
      <c r="H739" s="213"/>
    </row>
    <row r="740">
      <c r="H740" s="213"/>
    </row>
    <row r="741">
      <c r="H741" s="213"/>
    </row>
    <row r="742">
      <c r="H742" s="213"/>
    </row>
    <row r="743">
      <c r="H743" s="213"/>
    </row>
    <row r="744">
      <c r="H744" s="213"/>
    </row>
    <row r="745">
      <c r="H745" s="213"/>
    </row>
    <row r="746">
      <c r="H746" s="213"/>
    </row>
    <row r="747">
      <c r="H747" s="213"/>
    </row>
    <row r="748">
      <c r="H748" s="213"/>
    </row>
    <row r="749">
      <c r="H749" s="213"/>
    </row>
    <row r="750">
      <c r="H750" s="213"/>
    </row>
    <row r="751">
      <c r="H751" s="213"/>
    </row>
    <row r="752">
      <c r="H752" s="213"/>
    </row>
    <row r="753">
      <c r="H753" s="213"/>
    </row>
    <row r="754">
      <c r="H754" s="213"/>
    </row>
    <row r="755">
      <c r="H755" s="213"/>
    </row>
    <row r="756">
      <c r="H756" s="213"/>
    </row>
    <row r="757">
      <c r="H757" s="213"/>
    </row>
    <row r="758">
      <c r="H758" s="213"/>
    </row>
    <row r="759">
      <c r="H759" s="213"/>
    </row>
    <row r="760">
      <c r="H760" s="213"/>
    </row>
    <row r="761">
      <c r="H761" s="213"/>
    </row>
    <row r="762">
      <c r="H762" s="213"/>
    </row>
    <row r="763">
      <c r="H763" s="213"/>
    </row>
    <row r="764">
      <c r="H764" s="213"/>
    </row>
    <row r="765">
      <c r="H765" s="213"/>
    </row>
    <row r="766">
      <c r="H766" s="213"/>
    </row>
    <row r="767">
      <c r="H767" s="213"/>
    </row>
    <row r="768">
      <c r="H768" s="213"/>
    </row>
    <row r="769">
      <c r="H769" s="213"/>
    </row>
    <row r="770">
      <c r="H770" s="213"/>
    </row>
    <row r="771">
      <c r="H771" s="213"/>
    </row>
    <row r="772">
      <c r="H772" s="213"/>
    </row>
    <row r="773">
      <c r="H773" s="213"/>
    </row>
    <row r="774">
      <c r="H774" s="213"/>
    </row>
    <row r="775">
      <c r="H775" s="213"/>
    </row>
    <row r="776">
      <c r="H776" s="213"/>
    </row>
    <row r="777">
      <c r="H777" s="213"/>
    </row>
    <row r="778">
      <c r="H778" s="213"/>
    </row>
    <row r="779">
      <c r="H779" s="213"/>
    </row>
    <row r="780">
      <c r="H780" s="213"/>
    </row>
    <row r="781">
      <c r="H781" s="213"/>
    </row>
    <row r="782">
      <c r="H782" s="213"/>
    </row>
    <row r="783">
      <c r="H783" s="213"/>
    </row>
    <row r="784">
      <c r="H784" s="213"/>
    </row>
    <row r="785">
      <c r="H785" s="213"/>
    </row>
    <row r="786">
      <c r="H786" s="213"/>
    </row>
    <row r="787">
      <c r="H787" s="213"/>
    </row>
    <row r="788">
      <c r="H788" s="213"/>
    </row>
    <row r="789">
      <c r="H789" s="213"/>
    </row>
    <row r="790">
      <c r="H790" s="213"/>
    </row>
    <row r="791">
      <c r="H791" s="213"/>
    </row>
    <row r="792">
      <c r="H792" s="213"/>
    </row>
    <row r="793">
      <c r="H793" s="213"/>
    </row>
    <row r="794">
      <c r="H794" s="213"/>
    </row>
    <row r="795">
      <c r="H795" s="213"/>
    </row>
    <row r="796">
      <c r="H796" s="213"/>
    </row>
    <row r="797">
      <c r="H797" s="213"/>
    </row>
    <row r="798">
      <c r="H798" s="213"/>
    </row>
    <row r="799">
      <c r="H799" s="213"/>
    </row>
    <row r="800">
      <c r="H800" s="213"/>
    </row>
    <row r="801">
      <c r="H801" s="213"/>
    </row>
    <row r="802">
      <c r="H802" s="213"/>
    </row>
    <row r="803">
      <c r="H803" s="213"/>
    </row>
    <row r="804">
      <c r="H804" s="213"/>
    </row>
    <row r="805">
      <c r="H805" s="213"/>
    </row>
    <row r="806">
      <c r="H806" s="213"/>
    </row>
    <row r="807">
      <c r="H807" s="213"/>
    </row>
    <row r="808">
      <c r="H808" s="213"/>
    </row>
    <row r="809">
      <c r="H809" s="213"/>
    </row>
    <row r="810">
      <c r="H810" s="213"/>
    </row>
    <row r="811">
      <c r="H811" s="213"/>
    </row>
    <row r="812">
      <c r="H812" s="213"/>
    </row>
    <row r="813">
      <c r="H813" s="213"/>
    </row>
    <row r="814">
      <c r="H814" s="213"/>
    </row>
    <row r="815">
      <c r="H815" s="213"/>
    </row>
    <row r="816">
      <c r="H816" s="213"/>
    </row>
    <row r="817">
      <c r="H817" s="213"/>
    </row>
    <row r="818">
      <c r="H818" s="213"/>
    </row>
    <row r="819">
      <c r="H819" s="213"/>
    </row>
    <row r="820">
      <c r="H820" s="213"/>
    </row>
    <row r="821">
      <c r="H821" s="213"/>
    </row>
    <row r="822">
      <c r="H822" s="213"/>
    </row>
    <row r="823">
      <c r="H823" s="213"/>
    </row>
    <row r="824">
      <c r="H824" s="213"/>
    </row>
    <row r="825">
      <c r="H825" s="213"/>
    </row>
    <row r="826">
      <c r="H826" s="213"/>
    </row>
    <row r="827">
      <c r="H827" s="213"/>
    </row>
    <row r="828">
      <c r="H828" s="213"/>
    </row>
    <row r="829">
      <c r="H829" s="213"/>
    </row>
    <row r="830">
      <c r="H830" s="213"/>
    </row>
    <row r="831">
      <c r="H831" s="213"/>
    </row>
    <row r="832">
      <c r="H832" s="213"/>
    </row>
    <row r="833">
      <c r="H833" s="213"/>
    </row>
    <row r="834">
      <c r="H834" s="213"/>
    </row>
    <row r="835">
      <c r="H835" s="213"/>
    </row>
    <row r="836">
      <c r="H836" s="213"/>
    </row>
    <row r="837">
      <c r="H837" s="213"/>
    </row>
    <row r="838">
      <c r="H838" s="213"/>
    </row>
    <row r="839">
      <c r="H839" s="213"/>
    </row>
    <row r="840">
      <c r="H840" s="213"/>
    </row>
    <row r="841">
      <c r="H841" s="213"/>
    </row>
    <row r="842">
      <c r="H842" s="213"/>
    </row>
    <row r="843">
      <c r="H843" s="213"/>
    </row>
    <row r="844">
      <c r="H844" s="213"/>
    </row>
    <row r="845">
      <c r="H845" s="213"/>
    </row>
    <row r="846">
      <c r="H846" s="213"/>
    </row>
    <row r="847">
      <c r="H847" s="213"/>
    </row>
    <row r="848">
      <c r="H848" s="213"/>
    </row>
    <row r="849">
      <c r="H849" s="213"/>
    </row>
    <row r="850">
      <c r="H850" s="213"/>
    </row>
    <row r="851">
      <c r="H851" s="213"/>
    </row>
    <row r="852">
      <c r="H852" s="213"/>
    </row>
    <row r="853">
      <c r="H853" s="213"/>
    </row>
    <row r="854">
      <c r="H854" s="213"/>
    </row>
    <row r="855">
      <c r="H855" s="213"/>
    </row>
    <row r="856">
      <c r="H856" s="213"/>
    </row>
    <row r="857">
      <c r="H857" s="213"/>
    </row>
    <row r="858">
      <c r="H858" s="213"/>
    </row>
    <row r="859">
      <c r="H859" s="213"/>
    </row>
    <row r="860">
      <c r="H860" s="213"/>
    </row>
    <row r="861">
      <c r="H861" s="213"/>
    </row>
    <row r="862">
      <c r="H862" s="213"/>
    </row>
    <row r="863">
      <c r="H863" s="213"/>
    </row>
    <row r="864">
      <c r="H864" s="213"/>
    </row>
    <row r="865">
      <c r="H865" s="213"/>
    </row>
    <row r="866">
      <c r="H866" s="213"/>
    </row>
    <row r="867">
      <c r="H867" s="213"/>
    </row>
    <row r="868">
      <c r="H868" s="213"/>
    </row>
    <row r="869">
      <c r="H869" s="213"/>
    </row>
    <row r="870">
      <c r="H870" s="213"/>
    </row>
    <row r="871">
      <c r="H871" s="213"/>
    </row>
    <row r="872">
      <c r="H872" s="213"/>
    </row>
    <row r="873">
      <c r="H873" s="213"/>
    </row>
    <row r="874">
      <c r="H874" s="213"/>
    </row>
    <row r="875">
      <c r="H875" s="213"/>
    </row>
    <row r="876">
      <c r="H876" s="213"/>
    </row>
    <row r="877">
      <c r="H877" s="213"/>
    </row>
    <row r="878">
      <c r="H878" s="213"/>
    </row>
    <row r="879">
      <c r="H879" s="213"/>
    </row>
    <row r="880">
      <c r="H880" s="213"/>
    </row>
    <row r="881">
      <c r="H881" s="213"/>
    </row>
    <row r="882">
      <c r="H882" s="213"/>
    </row>
    <row r="883">
      <c r="H883" s="213"/>
    </row>
    <row r="884">
      <c r="H884" s="213"/>
    </row>
    <row r="885">
      <c r="H885" s="213"/>
    </row>
    <row r="886">
      <c r="H886" s="213"/>
    </row>
    <row r="887">
      <c r="H887" s="213"/>
    </row>
    <row r="888">
      <c r="H888" s="213"/>
    </row>
    <row r="889">
      <c r="H889" s="213"/>
    </row>
    <row r="890">
      <c r="H890" s="213"/>
    </row>
    <row r="891">
      <c r="H891" s="213"/>
    </row>
    <row r="892">
      <c r="H892" s="213"/>
    </row>
    <row r="893">
      <c r="H893" s="213"/>
    </row>
    <row r="894">
      <c r="H894" s="213"/>
    </row>
    <row r="895">
      <c r="H895" s="213"/>
    </row>
    <row r="896">
      <c r="H896" s="213"/>
    </row>
    <row r="897">
      <c r="H897" s="213"/>
    </row>
    <row r="898">
      <c r="H898" s="213"/>
    </row>
    <row r="899">
      <c r="H899" s="213"/>
    </row>
    <row r="900">
      <c r="H900" s="213"/>
    </row>
    <row r="901">
      <c r="H901" s="213"/>
    </row>
    <row r="902">
      <c r="H902" s="213"/>
    </row>
    <row r="903">
      <c r="H903" s="213"/>
    </row>
    <row r="904">
      <c r="H904" s="213"/>
    </row>
    <row r="905">
      <c r="H905" s="213"/>
    </row>
    <row r="906">
      <c r="H906" s="213"/>
    </row>
    <row r="907">
      <c r="H907" s="213"/>
    </row>
    <row r="908">
      <c r="H908" s="213"/>
    </row>
    <row r="909">
      <c r="H909" s="213"/>
    </row>
    <row r="910">
      <c r="H910" s="213"/>
    </row>
    <row r="911">
      <c r="H911" s="213"/>
    </row>
    <row r="912">
      <c r="H912" s="213"/>
    </row>
    <row r="913">
      <c r="H913" s="213"/>
    </row>
    <row r="914">
      <c r="H914" s="213"/>
    </row>
    <row r="915">
      <c r="H915" s="213"/>
    </row>
    <row r="916">
      <c r="H916" s="213"/>
    </row>
    <row r="917">
      <c r="H917" s="213"/>
    </row>
    <row r="918">
      <c r="H918" s="213"/>
    </row>
    <row r="919">
      <c r="H919" s="213"/>
    </row>
    <row r="920">
      <c r="H920" s="213"/>
    </row>
    <row r="921">
      <c r="H921" s="213"/>
    </row>
    <row r="922">
      <c r="H922" s="213"/>
    </row>
    <row r="923">
      <c r="H923" s="213"/>
    </row>
    <row r="924">
      <c r="H924" s="213"/>
    </row>
    <row r="925">
      <c r="H925" s="213"/>
    </row>
    <row r="926">
      <c r="H926" s="213"/>
    </row>
    <row r="927">
      <c r="H927" s="213"/>
    </row>
    <row r="928">
      <c r="H928" s="213"/>
    </row>
    <row r="929">
      <c r="H929" s="213"/>
    </row>
    <row r="930">
      <c r="H930" s="213"/>
    </row>
    <row r="931">
      <c r="H931" s="213"/>
    </row>
    <row r="932">
      <c r="H932" s="213"/>
    </row>
    <row r="933">
      <c r="H933" s="213"/>
    </row>
    <row r="934">
      <c r="H934" s="213"/>
    </row>
    <row r="935">
      <c r="H935" s="213"/>
    </row>
    <row r="936">
      <c r="H936" s="213"/>
    </row>
    <row r="937">
      <c r="H937" s="213"/>
    </row>
    <row r="938">
      <c r="H938" s="213"/>
    </row>
    <row r="939">
      <c r="H939" s="213"/>
    </row>
    <row r="940">
      <c r="H940" s="213"/>
    </row>
    <row r="941">
      <c r="H941" s="213"/>
    </row>
    <row r="942">
      <c r="H942" s="213"/>
    </row>
    <row r="943">
      <c r="H943" s="213"/>
    </row>
    <row r="944">
      <c r="H944" s="213"/>
    </row>
    <row r="945">
      <c r="H945" s="213"/>
    </row>
    <row r="946">
      <c r="H946" s="213"/>
    </row>
    <row r="947">
      <c r="H947" s="213"/>
    </row>
    <row r="948">
      <c r="H948" s="213"/>
    </row>
    <row r="949">
      <c r="H949" s="213"/>
    </row>
    <row r="950">
      <c r="H950" s="213"/>
    </row>
    <row r="951">
      <c r="H951" s="213"/>
    </row>
    <row r="952">
      <c r="H952" s="213"/>
    </row>
    <row r="953">
      <c r="H953" s="213"/>
    </row>
    <row r="954">
      <c r="H954" s="213"/>
    </row>
    <row r="955">
      <c r="H955" s="213"/>
    </row>
    <row r="956">
      <c r="H956" s="213"/>
    </row>
    <row r="957">
      <c r="H957" s="213"/>
    </row>
    <row r="958">
      <c r="H958" s="213"/>
    </row>
    <row r="959">
      <c r="H959" s="213"/>
    </row>
    <row r="960">
      <c r="H960" s="213"/>
    </row>
    <row r="961">
      <c r="H961" s="213"/>
    </row>
    <row r="962">
      <c r="H962" s="213"/>
    </row>
    <row r="963">
      <c r="H963" s="213"/>
    </row>
    <row r="964">
      <c r="H964" s="213"/>
    </row>
    <row r="965">
      <c r="H965" s="213"/>
    </row>
    <row r="966">
      <c r="H966" s="213"/>
    </row>
    <row r="967">
      <c r="H967" s="213"/>
    </row>
    <row r="968">
      <c r="H968" s="213"/>
    </row>
    <row r="969">
      <c r="H969" s="213"/>
    </row>
    <row r="970">
      <c r="H970" s="213"/>
    </row>
    <row r="971">
      <c r="H971" s="213"/>
    </row>
    <row r="972">
      <c r="H972" s="213"/>
    </row>
    <row r="973">
      <c r="H973" s="213"/>
    </row>
    <row r="974">
      <c r="H974" s="213"/>
    </row>
    <row r="975">
      <c r="H975" s="213"/>
    </row>
    <row r="976">
      <c r="H976" s="213"/>
    </row>
    <row r="977">
      <c r="H977" s="213"/>
    </row>
    <row r="978">
      <c r="H978" s="213"/>
    </row>
    <row r="979">
      <c r="H979" s="213"/>
    </row>
    <row r="980">
      <c r="H980" s="213"/>
    </row>
    <row r="981">
      <c r="H981" s="213"/>
    </row>
    <row r="982">
      <c r="H982" s="213"/>
    </row>
    <row r="983">
      <c r="H983" s="213"/>
    </row>
    <row r="984">
      <c r="H984" s="213"/>
    </row>
    <row r="985">
      <c r="H985" s="213"/>
    </row>
    <row r="986">
      <c r="H986" s="213"/>
    </row>
    <row r="987">
      <c r="H987" s="213"/>
    </row>
    <row r="988">
      <c r="H988" s="213"/>
    </row>
    <row r="989">
      <c r="H989" s="213"/>
    </row>
    <row r="990">
      <c r="H990" s="213"/>
    </row>
    <row r="991">
      <c r="H991" s="213"/>
    </row>
    <row r="992">
      <c r="H992" s="213"/>
    </row>
    <row r="993">
      <c r="H993" s="213"/>
    </row>
    <row r="994">
      <c r="H994" s="213"/>
    </row>
    <row r="995">
      <c r="H995" s="213"/>
    </row>
    <row r="996">
      <c r="H996" s="213"/>
    </row>
    <row r="997">
      <c r="H997" s="213"/>
    </row>
    <row r="998">
      <c r="H998" s="213"/>
    </row>
    <row r="999">
      <c r="H999" s="213"/>
    </row>
    <row r="1000">
      <c r="H1000" s="213"/>
    </row>
  </sheetData>
  <conditionalFormatting sqref="H1:H1000">
    <cfRule type="expression" dxfId="0" priority="1">
      <formula>PROPER(A1)</formula>
    </cfRule>
  </conditionalFormatting>
  <dataValidations>
    <dataValidation type="list" allowBlank="1" showErrorMessage="1" sqref="S1:S150">
      <formula1>"Released,ongoing,pending"</formula1>
    </dataValidation>
  </dataValidations>
  <hyperlinks>
    <hyperlink r:id="rId1" ref="A1"/>
  </hyperlinks>
  <drawing r:id="rId2"/>
</worksheet>
</file>